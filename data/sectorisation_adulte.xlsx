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UEIL\02 Outils Accueil\02 SECTORISATION\"/>
    </mc:Choice>
  </mc:AlternateContent>
  <bookViews>
    <workbookView xWindow="0" yWindow="0" windowWidth="11490" windowHeight="9090"/>
  </bookViews>
  <sheets>
    <sheet name="Secto dossiers &quot;adultes&quot;" sheetId="1" r:id="rId1"/>
    <sheet name="Commune_A" sheetId="2" r:id="rId2"/>
  </sheets>
  <definedNames>
    <definedName name="_xlnm._FilterDatabase" localSheetId="0" hidden="1">'Secto dossiers "adultes"'!$A$8:$G$683</definedName>
    <definedName name="f_ville">OFFSET(p_ville,0,0,COUNTA(l_ville),1)</definedName>
    <definedName name="l_ville">Commune_A!$A:$A</definedName>
    <definedName name="p_ville">Commune_A!$A$1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F4" i="1" l="1"/>
  <c r="G4" i="1"/>
  <c r="B4" i="1" l="1"/>
  <c r="E4" i="1" l="1"/>
  <c r="D4" i="1"/>
  <c r="C4" i="1"/>
</calcChain>
</file>

<file path=xl/sharedStrings.xml><?xml version="1.0" encoding="utf-8"?>
<sst xmlns="http://schemas.openxmlformats.org/spreadsheetml/2006/main" count="5538" uniqueCount="1446">
  <si>
    <t>CODE_INSEE</t>
  </si>
  <si>
    <t>EPCI</t>
  </si>
  <si>
    <t>27001</t>
  </si>
  <si>
    <t>ACLOU</t>
  </si>
  <si>
    <t>EPCI 05</t>
  </si>
  <si>
    <t>27002</t>
  </si>
  <si>
    <t>ACON</t>
  </si>
  <si>
    <t>EPCI 07</t>
  </si>
  <si>
    <t>27003</t>
  </si>
  <si>
    <t>ACQUIGNY</t>
  </si>
  <si>
    <t>EPCI 13</t>
  </si>
  <si>
    <t>27004</t>
  </si>
  <si>
    <t>AIGLEVILLE</t>
  </si>
  <si>
    <t>EPCI 08</t>
  </si>
  <si>
    <t>27005</t>
  </si>
  <si>
    <t>AILLY</t>
  </si>
  <si>
    <t>27006</t>
  </si>
  <si>
    <t>AIZIER</t>
  </si>
  <si>
    <t>EPCI 01</t>
  </si>
  <si>
    <t>27007</t>
  </si>
  <si>
    <t>AJOU</t>
  </si>
  <si>
    <t>MESNIL-EN-OUCHE</t>
  </si>
  <si>
    <t>27008</t>
  </si>
  <si>
    <t>ALIZAY</t>
  </si>
  <si>
    <t>27009</t>
  </si>
  <si>
    <t>AMBENAY</t>
  </si>
  <si>
    <t>EPCI 06</t>
  </si>
  <si>
    <t>27010</t>
  </si>
  <si>
    <t>AMÉCOURT</t>
  </si>
  <si>
    <t>EPCI 09</t>
  </si>
  <si>
    <t>Linda</t>
  </si>
  <si>
    <t>27011</t>
  </si>
  <si>
    <t>AMFREVILLE-LA-CAMPAGNE</t>
  </si>
  <si>
    <t>AMFREVILLE-SAINT-AMAND</t>
  </si>
  <si>
    <t>27012</t>
  </si>
  <si>
    <t>AMFREVILLE-LES-CHAMPS</t>
  </si>
  <si>
    <t>EPCI 10</t>
  </si>
  <si>
    <t>27013</t>
  </si>
  <si>
    <t>AMFREVILLE-SOUS-LES-MONTS</t>
  </si>
  <si>
    <t>27014</t>
  </si>
  <si>
    <t>AMFREVILLE-SUR-ITON</t>
  </si>
  <si>
    <t>27015</t>
  </si>
  <si>
    <t>ANDÉ</t>
  </si>
  <si>
    <t>27016</t>
  </si>
  <si>
    <t>27017</t>
  </si>
  <si>
    <t>ANGERVILLE-LA-CAMPAGNE</t>
  </si>
  <si>
    <t>27018</t>
  </si>
  <si>
    <t>APPEVILLE-ANNEBAULT</t>
  </si>
  <si>
    <t>EPCI 03</t>
  </si>
  <si>
    <t>27019</t>
  </si>
  <si>
    <t>ARMENTIÈRES-SUR-AVRE</t>
  </si>
  <si>
    <t>27020</t>
  </si>
  <si>
    <t>ARNIÈRES-SUR-ITON</t>
  </si>
  <si>
    <t>27021</t>
  </si>
  <si>
    <t>ASNIÈRES</t>
  </si>
  <si>
    <t>EPCI 04</t>
  </si>
  <si>
    <t>27022</t>
  </si>
  <si>
    <t>AUBEVOYE</t>
  </si>
  <si>
    <t>LE VAL D'HAZEY</t>
  </si>
  <si>
    <t>27023</t>
  </si>
  <si>
    <t>AULNAY-SUR-ITON</t>
  </si>
  <si>
    <t>EPCI 11</t>
  </si>
  <si>
    <t>27025</t>
  </si>
  <si>
    <t>AUTHEUIL-AUTHOUILLET</t>
  </si>
  <si>
    <t>27026</t>
  </si>
  <si>
    <t>AUTHEVERNES</t>
  </si>
  <si>
    <t>27027</t>
  </si>
  <si>
    <t>27028</t>
  </si>
  <si>
    <t>AUTHOU</t>
  </si>
  <si>
    <t>27031</t>
  </si>
  <si>
    <t>AVIRON</t>
  </si>
  <si>
    <t>27032</t>
  </si>
  <si>
    <t>AVRILLY</t>
  </si>
  <si>
    <t>CHAMBOIS</t>
  </si>
  <si>
    <t>27033</t>
  </si>
  <si>
    <t>BACQUEPUIS</t>
  </si>
  <si>
    <t>EPCI 12</t>
  </si>
  <si>
    <t>27034</t>
  </si>
  <si>
    <t>BACQUEVILLE</t>
  </si>
  <si>
    <t>27035</t>
  </si>
  <si>
    <t>BAILLEUL-LA-VALLÉE</t>
  </si>
  <si>
    <t>27036</t>
  </si>
  <si>
    <t>BÂLINES</t>
  </si>
  <si>
    <t>27037</t>
  </si>
  <si>
    <t>BARC</t>
  </si>
  <si>
    <t>27038</t>
  </si>
  <si>
    <t>27039</t>
  </si>
  <si>
    <t>BARNEVILLE-SUR-SEINE</t>
  </si>
  <si>
    <t>27040</t>
  </si>
  <si>
    <t>BARQUET</t>
  </si>
  <si>
    <t>27041</t>
  </si>
  <si>
    <t>27042</t>
  </si>
  <si>
    <t>BARVILLE</t>
  </si>
  <si>
    <t>27043</t>
  </si>
  <si>
    <t>27044</t>
  </si>
  <si>
    <t>27045</t>
  </si>
  <si>
    <t>BAZINCOURT-SUR-EPTE</t>
  </si>
  <si>
    <t>27046</t>
  </si>
  <si>
    <t>BAZOQUES</t>
  </si>
  <si>
    <t>27047</t>
  </si>
  <si>
    <t>BEAUBRAY</t>
  </si>
  <si>
    <t>27048</t>
  </si>
  <si>
    <t>BEAUFICEL-EN-LYONS</t>
  </si>
  <si>
    <t>27049</t>
  </si>
  <si>
    <t>BEAUMESNIL</t>
  </si>
  <si>
    <t>27050</t>
  </si>
  <si>
    <t>BEAUMONTEL</t>
  </si>
  <si>
    <t>27051</t>
  </si>
  <si>
    <t>BEAUMONT-LE-ROGER</t>
  </si>
  <si>
    <t>27052</t>
  </si>
  <si>
    <t>27053</t>
  </si>
  <si>
    <t>27054</t>
  </si>
  <si>
    <t>BÉMÉCOURT</t>
  </si>
  <si>
    <t>27055</t>
  </si>
  <si>
    <t>BÉRENGEVILLE-LA-CAMPAGNE</t>
  </si>
  <si>
    <t>27056</t>
  </si>
  <si>
    <t>BERNAY</t>
  </si>
  <si>
    <t>27057</t>
  </si>
  <si>
    <t>BERNIENVILLE</t>
  </si>
  <si>
    <t>27058</t>
  </si>
  <si>
    <t>BERNIÈRES-SUR-SEINE</t>
  </si>
  <si>
    <t>LES TROIS LACS</t>
  </si>
  <si>
    <t>27059</t>
  </si>
  <si>
    <t>BERNOUVILLE</t>
  </si>
  <si>
    <t>27060</t>
  </si>
  <si>
    <t>BERTHENONVILLE</t>
  </si>
  <si>
    <t>VEXIN-SUR-EPTE</t>
  </si>
  <si>
    <t>27061</t>
  </si>
  <si>
    <t>BERTHOUVILLE</t>
  </si>
  <si>
    <t>27062</t>
  </si>
  <si>
    <t>BERVILLE-EN-ROUMOIS</t>
  </si>
  <si>
    <t>LES MONTS DU ROUMOIS</t>
  </si>
  <si>
    <t>27063</t>
  </si>
  <si>
    <t>BERVILLE-LA-CAMPAGNE</t>
  </si>
  <si>
    <t>27064</t>
  </si>
  <si>
    <t>BERVILLE-SUR-MER</t>
  </si>
  <si>
    <t>EPCI 02</t>
  </si>
  <si>
    <t>27065</t>
  </si>
  <si>
    <t>BEUZEVILLE</t>
  </si>
  <si>
    <t>27066</t>
  </si>
  <si>
    <t>BÉZU-LA-FORÊT</t>
  </si>
  <si>
    <t>27067</t>
  </si>
  <si>
    <t>BÉZU-SAINT-ÉLOI</t>
  </si>
  <si>
    <t>27068</t>
  </si>
  <si>
    <t>BOIS-ANZERAY</t>
  </si>
  <si>
    <t>27069</t>
  </si>
  <si>
    <t>BOIS-ARNAULT</t>
  </si>
  <si>
    <t>27070</t>
  </si>
  <si>
    <t>BOISEMONT</t>
  </si>
  <si>
    <t>27071</t>
  </si>
  <si>
    <t>27072</t>
  </si>
  <si>
    <t>BOIS-JÉRÔME-SAINT-OUEN</t>
  </si>
  <si>
    <t>27073</t>
  </si>
  <si>
    <t>BOIS-LE-ROI</t>
  </si>
  <si>
    <t>27074</t>
  </si>
  <si>
    <t>BOISNEY</t>
  </si>
  <si>
    <t>27075</t>
  </si>
  <si>
    <t>BOIS-NORMAND-PRÈS-LYRE</t>
  </si>
  <si>
    <t>27076</t>
  </si>
  <si>
    <t>BOISSET-LES-PRÉVANCHES</t>
  </si>
  <si>
    <t>27077</t>
  </si>
  <si>
    <t>BOISSEY-LE-CHÂTEL</t>
  </si>
  <si>
    <t>27078</t>
  </si>
  <si>
    <t>27079</t>
  </si>
  <si>
    <t>BOISSY-LAMBERVILLE</t>
  </si>
  <si>
    <t>27081</t>
  </si>
  <si>
    <t>BONCOURT</t>
  </si>
  <si>
    <t>27083</t>
  </si>
  <si>
    <t>BONNEVILLE-APTOT</t>
  </si>
  <si>
    <t>27082</t>
  </si>
  <si>
    <t>27084</t>
  </si>
  <si>
    <t>BOSC-BÉNARD-COMMIN</t>
  </si>
  <si>
    <t>GRAND BOURGTHEROULDE</t>
  </si>
  <si>
    <t>27085</t>
  </si>
  <si>
    <t>BOSC-BÉNARD-CRESCY</t>
  </si>
  <si>
    <t>FLANCOURT-CRESCY-EN-ROUMOIS</t>
  </si>
  <si>
    <t>27088</t>
  </si>
  <si>
    <t>BOSC-RENOULT-EN-OUCHE</t>
  </si>
  <si>
    <t>27089</t>
  </si>
  <si>
    <t>BOSC-RENOULT-EN-ROUMOIS</t>
  </si>
  <si>
    <t>27090</t>
  </si>
  <si>
    <t>BOSROUMOIS</t>
  </si>
  <si>
    <t>27091</t>
  </si>
  <si>
    <t>BOSGOUET</t>
  </si>
  <si>
    <t>27092</t>
  </si>
  <si>
    <t>BOSGUÉRARD-DE-MARCOUVILLE</t>
  </si>
  <si>
    <t>27093</t>
  </si>
  <si>
    <t>BOSNORMAND</t>
  </si>
  <si>
    <t>27094</t>
  </si>
  <si>
    <t>BOSQUENTIN</t>
  </si>
  <si>
    <t>27095</t>
  </si>
  <si>
    <t>BOSROBERT</t>
  </si>
  <si>
    <t>27096</t>
  </si>
  <si>
    <t>27097</t>
  </si>
  <si>
    <t>BOUAFLES</t>
  </si>
  <si>
    <t>27098</t>
  </si>
  <si>
    <t>BOUCHEVILLIERS</t>
  </si>
  <si>
    <t>Hors dep</t>
  </si>
  <si>
    <t>27099</t>
  </si>
  <si>
    <t>27100</t>
  </si>
  <si>
    <t>BOULLEVILLE</t>
  </si>
  <si>
    <t>27101</t>
  </si>
  <si>
    <t>BOUQUELON</t>
  </si>
  <si>
    <t>27102</t>
  </si>
  <si>
    <t>BOUQUETOT</t>
  </si>
  <si>
    <t>27103</t>
  </si>
  <si>
    <t>BOURG-ACHARD</t>
  </si>
  <si>
    <t>27104</t>
  </si>
  <si>
    <t>BOURG-BEAUDOUIN</t>
  </si>
  <si>
    <t>27105</t>
  </si>
  <si>
    <t>BOURGTHEROULDE-INFREVILLE</t>
  </si>
  <si>
    <t>27106</t>
  </si>
  <si>
    <t>BOURNAINVILLE-FAVEROLLES</t>
  </si>
  <si>
    <t>27107</t>
  </si>
  <si>
    <t>BOURNEVILLE</t>
  </si>
  <si>
    <t>BOURNEVILLE-SAINTE-CROIX</t>
  </si>
  <si>
    <t>27108</t>
  </si>
  <si>
    <t>BOURTH</t>
  </si>
  <si>
    <t>27109</t>
  </si>
  <si>
    <t>BRAY</t>
  </si>
  <si>
    <t>27110</t>
  </si>
  <si>
    <t>BRESTOT</t>
  </si>
  <si>
    <t>27111</t>
  </si>
  <si>
    <t>BRETAGNOLLES</t>
  </si>
  <si>
    <t>27112</t>
  </si>
  <si>
    <t>BRETEUIL</t>
  </si>
  <si>
    <t>27113</t>
  </si>
  <si>
    <t>BRÉTIGNY</t>
  </si>
  <si>
    <t>27114</t>
  </si>
  <si>
    <t>BREUILPONT</t>
  </si>
  <si>
    <t>27115</t>
  </si>
  <si>
    <t>BREUX-SUR-AVRE</t>
  </si>
  <si>
    <t>27116</t>
  </si>
  <si>
    <t>BRIONNE</t>
  </si>
  <si>
    <t>27117</t>
  </si>
  <si>
    <t>BROGLIE</t>
  </si>
  <si>
    <t>27118</t>
  </si>
  <si>
    <t>BROSVILLE</t>
  </si>
  <si>
    <t>27119</t>
  </si>
  <si>
    <t>BUEIL</t>
  </si>
  <si>
    <t>27416</t>
  </si>
  <si>
    <t>BUIS-SUR-DAMVILLE</t>
  </si>
  <si>
    <t>MESNILS-SUR-ITON</t>
  </si>
  <si>
    <t>27120</t>
  </si>
  <si>
    <t>BUREY</t>
  </si>
  <si>
    <t>27121</t>
  </si>
  <si>
    <t>BUS-SAINT-RÉMY</t>
  </si>
  <si>
    <t>27122</t>
  </si>
  <si>
    <t>CAHAIGNES</t>
  </si>
  <si>
    <t>27123</t>
  </si>
  <si>
    <t>CAILLOUET-ORGEVILLE</t>
  </si>
  <si>
    <t>27124</t>
  </si>
  <si>
    <t>CAILLY-SUR-EURE</t>
  </si>
  <si>
    <t>27125</t>
  </si>
  <si>
    <t>CALLEVILLE</t>
  </si>
  <si>
    <t>27126</t>
  </si>
  <si>
    <t>CAMPIGNY</t>
  </si>
  <si>
    <t>27127</t>
  </si>
  <si>
    <t>CANAPPEVILLE</t>
  </si>
  <si>
    <t>27128</t>
  </si>
  <si>
    <t>CANTIERS</t>
  </si>
  <si>
    <t>27129</t>
  </si>
  <si>
    <t>CAORCHES-SAINT-NICOLAS</t>
  </si>
  <si>
    <t>27130</t>
  </si>
  <si>
    <t>CAPELLE-LES-GRANDS</t>
  </si>
  <si>
    <t>27131</t>
  </si>
  <si>
    <t>CARSIX</t>
  </si>
  <si>
    <t>27132</t>
  </si>
  <si>
    <t>CAUGÉ</t>
  </si>
  <si>
    <t>27133</t>
  </si>
  <si>
    <t>CAUMONT</t>
  </si>
  <si>
    <t>27134</t>
  </si>
  <si>
    <t>CAUVERVILLE-EN-ROUMOIS</t>
  </si>
  <si>
    <t>27135</t>
  </si>
  <si>
    <t>CESSEVILLE</t>
  </si>
  <si>
    <t>27136</t>
  </si>
  <si>
    <t>CHAIGNES</t>
  </si>
  <si>
    <t>27137</t>
  </si>
  <si>
    <t>CHAISE-DIEU-DU-THEIL</t>
  </si>
  <si>
    <t>27138</t>
  </si>
  <si>
    <t>CHAMBLAC</t>
  </si>
  <si>
    <t>27139</t>
  </si>
  <si>
    <t>CHAMBORD</t>
  </si>
  <si>
    <t>27140</t>
  </si>
  <si>
    <t>CHAMBRAY</t>
  </si>
  <si>
    <t>27141</t>
  </si>
  <si>
    <t>CHAMP-DOLENT</t>
  </si>
  <si>
    <t>27142</t>
  </si>
  <si>
    <t>CHAMPENARD</t>
  </si>
  <si>
    <t>27143</t>
  </si>
  <si>
    <t>CHAMPIGNOLLES</t>
  </si>
  <si>
    <t>27144</t>
  </si>
  <si>
    <t>CHAMPIGNY-LA-FUTELAYE</t>
  </si>
  <si>
    <t>27145</t>
  </si>
  <si>
    <t>CHANTELOUP</t>
  </si>
  <si>
    <t>MARBOIS</t>
  </si>
  <si>
    <t>27146</t>
  </si>
  <si>
    <t>27147</t>
  </si>
  <si>
    <t>27148</t>
  </si>
  <si>
    <t>27149</t>
  </si>
  <si>
    <t>27150</t>
  </si>
  <si>
    <t>27151</t>
  </si>
  <si>
    <t>CHARLEVAL</t>
  </si>
  <si>
    <t>27152</t>
  </si>
  <si>
    <t>CHÂTEAU-SUR-EPTE</t>
  </si>
  <si>
    <t>27153</t>
  </si>
  <si>
    <t>CHAUVINCOURT-PROVEMONT</t>
  </si>
  <si>
    <t>27154</t>
  </si>
  <si>
    <t>CHAVIGNY-BAILLEUL</t>
  </si>
  <si>
    <t>27155</t>
  </si>
  <si>
    <t>CHENNEBRUN</t>
  </si>
  <si>
    <t>27156</t>
  </si>
  <si>
    <t>CHÉRONVILLIERS</t>
  </si>
  <si>
    <t>27157</t>
  </si>
  <si>
    <t>27158</t>
  </si>
  <si>
    <t>CIERREY</t>
  </si>
  <si>
    <t>27159</t>
  </si>
  <si>
    <t>CINTRAY</t>
  </si>
  <si>
    <t>27160</t>
  </si>
  <si>
    <t>CIVIÈRES</t>
  </si>
  <si>
    <t>27161</t>
  </si>
  <si>
    <t>CLAVILLE</t>
  </si>
  <si>
    <t>27162</t>
  </si>
  <si>
    <t>COLLANDRES-QUINCARNON</t>
  </si>
  <si>
    <t>27163</t>
  </si>
  <si>
    <t>COLLETOT</t>
  </si>
  <si>
    <t>27164</t>
  </si>
  <si>
    <t>COMBON</t>
  </si>
  <si>
    <t>27165</t>
  </si>
  <si>
    <t>CONCHES-EN-OUCHE</t>
  </si>
  <si>
    <t>27166</t>
  </si>
  <si>
    <t>CONDÉ-SUR-ITON</t>
  </si>
  <si>
    <t>27167</t>
  </si>
  <si>
    <t>CONDÉ-SUR-RISLE</t>
  </si>
  <si>
    <t>27168</t>
  </si>
  <si>
    <t>CONNELLES</t>
  </si>
  <si>
    <t>27169</t>
  </si>
  <si>
    <t>CONTEVILLE</t>
  </si>
  <si>
    <t>27170</t>
  </si>
  <si>
    <t>CORMEILLES</t>
  </si>
  <si>
    <t>27171</t>
  </si>
  <si>
    <t>27172</t>
  </si>
  <si>
    <t>CORNEUIL</t>
  </si>
  <si>
    <t>27173</t>
  </si>
  <si>
    <t>CORNEVILLE-LA-FOUQUETIÈRE</t>
  </si>
  <si>
    <t>27174</t>
  </si>
  <si>
    <t>CORNEVILLE-SUR-RISLE</t>
  </si>
  <si>
    <t>27175</t>
  </si>
  <si>
    <t>CORNY</t>
  </si>
  <si>
    <t>27176</t>
  </si>
  <si>
    <t>COUDRAY</t>
  </si>
  <si>
    <t>27177</t>
  </si>
  <si>
    <t>COUDRES</t>
  </si>
  <si>
    <t>27179</t>
  </si>
  <si>
    <t>COURBÉPINE</t>
  </si>
  <si>
    <t>27180</t>
  </si>
  <si>
    <t>COURCELLES-SUR-SEINE</t>
  </si>
  <si>
    <t>27181</t>
  </si>
  <si>
    <t>COURDEMANCHE</t>
  </si>
  <si>
    <t>27182</t>
  </si>
  <si>
    <t>COURTEILLES</t>
  </si>
  <si>
    <t>27183</t>
  </si>
  <si>
    <t>27184</t>
  </si>
  <si>
    <t>CRASVILLE</t>
  </si>
  <si>
    <t>27185</t>
  </si>
  <si>
    <t>CRESTOT</t>
  </si>
  <si>
    <t>27187</t>
  </si>
  <si>
    <t>CRIQUEBEUF-LA-CAMPAGNE</t>
  </si>
  <si>
    <t>27188</t>
  </si>
  <si>
    <t>CRIQUEBEUF-SUR-SEINE</t>
  </si>
  <si>
    <t>27189</t>
  </si>
  <si>
    <t>27190</t>
  </si>
  <si>
    <t>CROISY-SUR-EURE</t>
  </si>
  <si>
    <t>27191</t>
  </si>
  <si>
    <t>27192</t>
  </si>
  <si>
    <t>CROSVILLE-LA-VIEILLE</t>
  </si>
  <si>
    <t>27193</t>
  </si>
  <si>
    <t>CROTH</t>
  </si>
  <si>
    <t>27194</t>
  </si>
  <si>
    <t>CUVERVILLE</t>
  </si>
  <si>
    <t>27195</t>
  </si>
  <si>
    <t>DAME-MARIE</t>
  </si>
  <si>
    <t>SAINTE-MARIE-D'ATTEZ</t>
  </si>
  <si>
    <t>27196</t>
  </si>
  <si>
    <t>27197</t>
  </si>
  <si>
    <t>DAMPSMESNIL</t>
  </si>
  <si>
    <t>27198</t>
  </si>
  <si>
    <t>DAMVILLE</t>
  </si>
  <si>
    <t>27199</t>
  </si>
  <si>
    <t>DANGU</t>
  </si>
  <si>
    <t>27200</t>
  </si>
  <si>
    <t>DARDEZ</t>
  </si>
  <si>
    <t>27201</t>
  </si>
  <si>
    <t>DAUBEUF-LA-CAMPAGNE</t>
  </si>
  <si>
    <t>27202</t>
  </si>
  <si>
    <t>DAUBEUF-PRÈS-VATTEVILLE</t>
  </si>
  <si>
    <t>27203</t>
  </si>
  <si>
    <t>DOUAINS</t>
  </si>
  <si>
    <t>27204</t>
  </si>
  <si>
    <t>DOUDEAUVILLE-EN-VEXIN</t>
  </si>
  <si>
    <t>27205</t>
  </si>
  <si>
    <t>DOUVILLE-SUR-ANDELLE</t>
  </si>
  <si>
    <t>27206</t>
  </si>
  <si>
    <t>DROISY</t>
  </si>
  <si>
    <t>27207</t>
  </si>
  <si>
    <t>DRUCOURT</t>
  </si>
  <si>
    <t>27208</t>
  </si>
  <si>
    <t>DURANVILLE</t>
  </si>
  <si>
    <t>27209</t>
  </si>
  <si>
    <t>ÉCAQUELON</t>
  </si>
  <si>
    <t>27210</t>
  </si>
  <si>
    <t>ÉCARDENVILLE-LA-CAMPAGNE</t>
  </si>
  <si>
    <t>27211</t>
  </si>
  <si>
    <t>ÉCARDENVILLE-SUR-EURE</t>
  </si>
  <si>
    <t>27212</t>
  </si>
  <si>
    <t>ÉCAUVILLE</t>
  </si>
  <si>
    <t>27213</t>
  </si>
  <si>
    <t>ÉCOS</t>
  </si>
  <si>
    <t>27214</t>
  </si>
  <si>
    <t>ÉCOUIS</t>
  </si>
  <si>
    <t>27215</t>
  </si>
  <si>
    <t>ECQUETOT</t>
  </si>
  <si>
    <t>27216</t>
  </si>
  <si>
    <t>ÉMALLEVILLE</t>
  </si>
  <si>
    <t>27217</t>
  </si>
  <si>
    <t>ÉMANVILLE</t>
  </si>
  <si>
    <t>27218</t>
  </si>
  <si>
    <t>ÉPAIGNES</t>
  </si>
  <si>
    <t>27219</t>
  </si>
  <si>
    <t>ÉPÉGARD</t>
  </si>
  <si>
    <t>27220</t>
  </si>
  <si>
    <t>ÉPIEDS</t>
  </si>
  <si>
    <t>27221</t>
  </si>
  <si>
    <t>ÉPINAY</t>
  </si>
  <si>
    <t>27222</t>
  </si>
  <si>
    <t>ÉPREVILLE-EN-LIEUVIN</t>
  </si>
  <si>
    <t>27223</t>
  </si>
  <si>
    <t>ÉPREVILLE-EN-ROUMOIS</t>
  </si>
  <si>
    <t>27224</t>
  </si>
  <si>
    <t>ÉPREVILLE-PRÈS-LE-NEUBOURG</t>
  </si>
  <si>
    <t>27225</t>
  </si>
  <si>
    <t>27226</t>
  </si>
  <si>
    <t>ÉTRÉPAGNY</t>
  </si>
  <si>
    <t>27227</t>
  </si>
  <si>
    <t>ÉTRÉVILLE</t>
  </si>
  <si>
    <t>27228</t>
  </si>
  <si>
    <t>ÉTURQUERAYE</t>
  </si>
  <si>
    <t>27230</t>
  </si>
  <si>
    <t>ÉZY-SUR-EURE</t>
  </si>
  <si>
    <t>27231</t>
  </si>
  <si>
    <t>FAINS</t>
  </si>
  <si>
    <t>27232</t>
  </si>
  <si>
    <t>FARCEAUX</t>
  </si>
  <si>
    <t>27233</t>
  </si>
  <si>
    <t>FATOUVILLE-GRESTAIN</t>
  </si>
  <si>
    <t>27234</t>
  </si>
  <si>
    <t>FAUVILLE</t>
  </si>
  <si>
    <t>27235</t>
  </si>
  <si>
    <t>FAVEROLLES-LA-CAMPAGNE</t>
  </si>
  <si>
    <t>27237</t>
  </si>
  <si>
    <t>27238</t>
  </si>
  <si>
    <t>FERRIÈRES-HAUT-CLOCHER</t>
  </si>
  <si>
    <t>27239</t>
  </si>
  <si>
    <t>FERRIÈRES-SAINT-HILAIRE</t>
  </si>
  <si>
    <t>27240</t>
  </si>
  <si>
    <t>27241</t>
  </si>
  <si>
    <t>FEUGUEROLLES</t>
  </si>
  <si>
    <t>27242</t>
  </si>
  <si>
    <t>27243</t>
  </si>
  <si>
    <t>FIQUEFLEUR-ÉQUAINVILLE</t>
  </si>
  <si>
    <t>27244</t>
  </si>
  <si>
    <t>FLANCOURT-CATELON</t>
  </si>
  <si>
    <t>27245</t>
  </si>
  <si>
    <t>FLEURY-LA-FORÊT</t>
  </si>
  <si>
    <t>27246</t>
  </si>
  <si>
    <t>FLEURY-SUR-ANDELLE</t>
  </si>
  <si>
    <t>27247</t>
  </si>
  <si>
    <t>FLIPOU</t>
  </si>
  <si>
    <t>27248</t>
  </si>
  <si>
    <t>FOLLEVILLE</t>
  </si>
  <si>
    <t>27249</t>
  </si>
  <si>
    <t>FONTAINE-BELLENGER</t>
  </si>
  <si>
    <t>27250</t>
  </si>
  <si>
    <t>FONTAINE-HEUDEBOURG</t>
  </si>
  <si>
    <t>27251</t>
  </si>
  <si>
    <t>FONTAINE-L'ABBÉ</t>
  </si>
  <si>
    <t>27252</t>
  </si>
  <si>
    <t>FONTAINE-LA-LOUVET</t>
  </si>
  <si>
    <t>27253</t>
  </si>
  <si>
    <t>FONTAINE-LA-SORET</t>
  </si>
  <si>
    <t>27254</t>
  </si>
  <si>
    <t>FONTAINE-SOUS-JOUY</t>
  </si>
  <si>
    <t>27255</t>
  </si>
  <si>
    <t>FONTENAY</t>
  </si>
  <si>
    <t>27256</t>
  </si>
  <si>
    <t>27257</t>
  </si>
  <si>
    <t>FORÊT-LA-FOLIE</t>
  </si>
  <si>
    <t>27258</t>
  </si>
  <si>
    <t>FORT-MOVILLE</t>
  </si>
  <si>
    <t>27259</t>
  </si>
  <si>
    <t>FOUCRAINVILLE</t>
  </si>
  <si>
    <t>27260</t>
  </si>
  <si>
    <t>FOULBEC</t>
  </si>
  <si>
    <t>27261</t>
  </si>
  <si>
    <t>FOUQUEVILLE</t>
  </si>
  <si>
    <t>27262</t>
  </si>
  <si>
    <t>FOURGES</t>
  </si>
  <si>
    <t>27263</t>
  </si>
  <si>
    <t>FOURMETOT</t>
  </si>
  <si>
    <t>LE PERREY</t>
  </si>
  <si>
    <t>27264</t>
  </si>
  <si>
    <t>FOURS-EN-VEXIN</t>
  </si>
  <si>
    <t>27265</t>
  </si>
  <si>
    <t>FRANCHEVILLE</t>
  </si>
  <si>
    <t>VERNEUIL D'AVRE ET D'ITON</t>
  </si>
  <si>
    <t>27266</t>
  </si>
  <si>
    <t>FRANQUEVILLE</t>
  </si>
  <si>
    <t>27267</t>
  </si>
  <si>
    <t>FRENEUSE-SUR-RISLE</t>
  </si>
  <si>
    <t>27268</t>
  </si>
  <si>
    <t>27269</t>
  </si>
  <si>
    <t>FRESNE-CAUVERVILLE</t>
  </si>
  <si>
    <t>27270</t>
  </si>
  <si>
    <t>FRESNE-L'ARCHEVÊQUE</t>
  </si>
  <si>
    <t>27271</t>
  </si>
  <si>
    <t>FRESNEY</t>
  </si>
  <si>
    <t>27273</t>
  </si>
  <si>
    <t>GADENCOURT</t>
  </si>
  <si>
    <t>27274</t>
  </si>
  <si>
    <t>GAILLARDBOIS-CRESSENVILLE</t>
  </si>
  <si>
    <t>27275</t>
  </si>
  <si>
    <t>GAILLON</t>
  </si>
  <si>
    <t>27276</t>
  </si>
  <si>
    <t>GAMACHES-EN-VEXIN</t>
  </si>
  <si>
    <t>27277</t>
  </si>
  <si>
    <t>GARENCIÈRES</t>
  </si>
  <si>
    <t>LA BARONNIE</t>
  </si>
  <si>
    <t>27278</t>
  </si>
  <si>
    <t>GARENNES-SUR-EURE</t>
  </si>
  <si>
    <t>27279</t>
  </si>
  <si>
    <t>GASNY</t>
  </si>
  <si>
    <t>27280</t>
  </si>
  <si>
    <t>GAUCIEL</t>
  </si>
  <si>
    <t>27281</t>
  </si>
  <si>
    <t>GAUDREVILLE-LA-RIVIÈRE</t>
  </si>
  <si>
    <t>27282</t>
  </si>
  <si>
    <t>GAUVILLE-LA-CAMPAGNE</t>
  </si>
  <si>
    <t>27283</t>
  </si>
  <si>
    <t>GISAY-LA-COUDRE</t>
  </si>
  <si>
    <t>27284</t>
  </si>
  <si>
    <t>GISORS</t>
  </si>
  <si>
    <t>27285</t>
  </si>
  <si>
    <t>GIVERNY</t>
  </si>
  <si>
    <t>27286</t>
  </si>
  <si>
    <t>GIVERVILLE</t>
  </si>
  <si>
    <t>27287</t>
  </si>
  <si>
    <t>GLISOLLES</t>
  </si>
  <si>
    <t>27288</t>
  </si>
  <si>
    <t>GLOS-SUR-RISLE</t>
  </si>
  <si>
    <t>27289</t>
  </si>
  <si>
    <t>27290</t>
  </si>
  <si>
    <t>GOUPILLIÈRES</t>
  </si>
  <si>
    <t>27291</t>
  </si>
  <si>
    <t>GOURNAY-LE-GUÉRIN</t>
  </si>
  <si>
    <t>27292</t>
  </si>
  <si>
    <t>GOUTTIÈRES</t>
  </si>
  <si>
    <t>27293</t>
  </si>
  <si>
    <t>GOUVILLE</t>
  </si>
  <si>
    <t>27294</t>
  </si>
  <si>
    <t>GRAINVILLE</t>
  </si>
  <si>
    <t>27296</t>
  </si>
  <si>
    <t>GRANCHAIN</t>
  </si>
  <si>
    <t>27295</t>
  </si>
  <si>
    <t>GRAND-CAMP</t>
  </si>
  <si>
    <t>27297</t>
  </si>
  <si>
    <t>GRANDVILLIERS</t>
  </si>
  <si>
    <t>27298</t>
  </si>
  <si>
    <t>GRAVERON-SÉMERVILLE</t>
  </si>
  <si>
    <t>27299</t>
  </si>
  <si>
    <t>GRAVIGNY</t>
  </si>
  <si>
    <t>27300</t>
  </si>
  <si>
    <t>GROSLEY-SUR-RISLE</t>
  </si>
  <si>
    <t>27301</t>
  </si>
  <si>
    <t>GROSSŒUVRE</t>
  </si>
  <si>
    <t>27302</t>
  </si>
  <si>
    <t>27303</t>
  </si>
  <si>
    <t>GUERNANVILLE</t>
  </si>
  <si>
    <t>LE LESME</t>
  </si>
  <si>
    <t>27304</t>
  </si>
  <si>
    <t>GUERNY</t>
  </si>
  <si>
    <t>27305</t>
  </si>
  <si>
    <t>27306</t>
  </si>
  <si>
    <t>GUICHAINVILLE</t>
  </si>
  <si>
    <t>27307</t>
  </si>
  <si>
    <t>GUISENIERS</t>
  </si>
  <si>
    <t>27308</t>
  </si>
  <si>
    <t>GUITRY</t>
  </si>
  <si>
    <t>27310</t>
  </si>
  <si>
    <t>27311</t>
  </si>
  <si>
    <t>HACQUEVILLE</t>
  </si>
  <si>
    <t>27312</t>
  </si>
  <si>
    <t>HARCOURT</t>
  </si>
  <si>
    <t>27313</t>
  </si>
  <si>
    <t>HARDENCOURT-COCHEREL</t>
  </si>
  <si>
    <t>27315</t>
  </si>
  <si>
    <t>27316</t>
  </si>
  <si>
    <t>HARQUENCY</t>
  </si>
  <si>
    <t>27317</t>
  </si>
  <si>
    <t>HAUVILLE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</si>
  <si>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</si>
  <si>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</si>
  <si>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</si>
  <si>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</si>
  <si>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</si>
  <si>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</si>
  <si>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</si>
  <si>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</si>
  <si>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HÉBÉCOURT</t>
  </si>
  <si>
    <t>27326</t>
  </si>
  <si>
    <t>HECMANVILLE</t>
  </si>
  <si>
    <t>27327</t>
  </si>
  <si>
    <t>HÉCOURT</t>
  </si>
  <si>
    <t>27329</t>
  </si>
  <si>
    <t>HECTOMARE</t>
  </si>
  <si>
    <t>27330</t>
  </si>
  <si>
    <t>HENNEZIS</t>
  </si>
  <si>
    <t>27331</t>
  </si>
  <si>
    <t>HERQUEVILLE</t>
  </si>
  <si>
    <t>27332</t>
  </si>
  <si>
    <t>HEUBÉCOURT-HARICOURT</t>
  </si>
  <si>
    <t>27333</t>
  </si>
  <si>
    <t>HEUDEBOUVILLE</t>
  </si>
  <si>
    <t>27334</t>
  </si>
  <si>
    <t>HEUDICOURT</t>
  </si>
  <si>
    <t>27335</t>
  </si>
  <si>
    <t>HEUDREVILLE-EN-LIEUVIN</t>
  </si>
  <si>
    <t>27336</t>
  </si>
  <si>
    <t>HEUDREVILLE-SUR-EURE</t>
  </si>
  <si>
    <t>27337</t>
  </si>
  <si>
    <t>27338</t>
  </si>
  <si>
    <t>HEUQUEVILLE</t>
  </si>
  <si>
    <t>27339</t>
  </si>
  <si>
    <t>27340</t>
  </si>
  <si>
    <t>HONDOUVILLE</t>
  </si>
  <si>
    <t>27342</t>
  </si>
  <si>
    <t>HONGUEMARE-GUENOUVILLE</t>
  </si>
  <si>
    <t>27343</t>
  </si>
  <si>
    <t>27344</t>
  </si>
  <si>
    <t>HOUETTEVILLE</t>
  </si>
  <si>
    <t>27345</t>
  </si>
  <si>
    <t>HOULBEC-COCHEREL</t>
  </si>
  <si>
    <t>27346</t>
  </si>
  <si>
    <t>HOULBEC-PRÈS-LE-GROS-THEIL</t>
  </si>
  <si>
    <t>27347</t>
  </si>
  <si>
    <t>27348</t>
  </si>
  <si>
    <t>HOUVILLE-EN-VEXIN</t>
  </si>
  <si>
    <t>27349</t>
  </si>
  <si>
    <t>HUEST</t>
  </si>
  <si>
    <t>27350</t>
  </si>
  <si>
    <t>IGOVILLE</t>
  </si>
  <si>
    <t>27351</t>
  </si>
  <si>
    <t>ILLEVILLE-SUR-MONTFORT</t>
  </si>
  <si>
    <t>27353</t>
  </si>
  <si>
    <t>ILLIERS-L'ÉVÊQUE</t>
  </si>
  <si>
    <t>27354</t>
  </si>
  <si>
    <t>INCARVILLE</t>
  </si>
  <si>
    <t>27355</t>
  </si>
  <si>
    <t>IRREVILLE</t>
  </si>
  <si>
    <t>27356</t>
  </si>
  <si>
    <t>IVILLE</t>
  </si>
  <si>
    <t>27358</t>
  </si>
  <si>
    <t>IVRY-LA-BATAILLE</t>
  </si>
  <si>
    <t>27359</t>
  </si>
  <si>
    <t>JONQUERETS-DE-LIVET</t>
  </si>
  <si>
    <t>27360</t>
  </si>
  <si>
    <t>JOUY-SUR-EURE</t>
  </si>
  <si>
    <t>27362</t>
  </si>
  <si>
    <t>JUIGNETTES</t>
  </si>
  <si>
    <t>27361</t>
  </si>
  <si>
    <t>JUMELLES</t>
  </si>
  <si>
    <t>27363</t>
  </si>
  <si>
    <t>LANDEPÉREUSE</t>
  </si>
  <si>
    <t>27364</t>
  </si>
  <si>
    <t>27365</t>
  </si>
  <si>
    <t>27366</t>
  </si>
  <si>
    <t>LAUNAY</t>
  </si>
  <si>
    <t>27309</t>
  </si>
  <si>
    <t>LÉRY</t>
  </si>
  <si>
    <t>27341</t>
  </si>
  <si>
    <t>LETTEGUIVES</t>
  </si>
  <si>
    <t>27367</t>
  </si>
  <si>
    <t>LIEUREY</t>
  </si>
  <si>
    <t>27368</t>
  </si>
  <si>
    <t>LIGNEROLLES</t>
  </si>
  <si>
    <t>27369</t>
  </si>
  <si>
    <t>LILLY</t>
  </si>
  <si>
    <t>27370</t>
  </si>
  <si>
    <t>LISORS</t>
  </si>
  <si>
    <t>27371</t>
  </si>
  <si>
    <t>LIVET-SUR-AUTHOU</t>
  </si>
  <si>
    <t>27372</t>
  </si>
  <si>
    <t>LONGCHAMPS</t>
  </si>
  <si>
    <t>27373</t>
  </si>
  <si>
    <t>LORLEAU</t>
  </si>
  <si>
    <t>27374</t>
  </si>
  <si>
    <t>LOUVERSEY</t>
  </si>
  <si>
    <t>27375</t>
  </si>
  <si>
    <t>LOUVIERS</t>
  </si>
  <si>
    <t>27376</t>
  </si>
  <si>
    <t>LOUYE</t>
  </si>
  <si>
    <t>27377</t>
  </si>
  <si>
    <t>LYONS-LA-FORÊT</t>
  </si>
  <si>
    <t>27378</t>
  </si>
  <si>
    <t>27379</t>
  </si>
  <si>
    <t>MAINNEVILLE</t>
  </si>
  <si>
    <t>27380</t>
  </si>
  <si>
    <t>MALLEVILLE-SUR-LE-BEC</t>
  </si>
  <si>
    <t>27381</t>
  </si>
  <si>
    <t>MALOUY</t>
  </si>
  <si>
    <t>27382</t>
  </si>
  <si>
    <t>MANDEVILLE</t>
  </si>
  <si>
    <t>27383</t>
  </si>
  <si>
    <t>MANDRES</t>
  </si>
  <si>
    <t>27384</t>
  </si>
  <si>
    <t>MANNEVILLE-LA-RAOULT</t>
  </si>
  <si>
    <t>27385</t>
  </si>
  <si>
    <t>MANNEVILLE-SUR-RISLE</t>
  </si>
  <si>
    <t>27386</t>
  </si>
  <si>
    <t>27387</t>
  </si>
  <si>
    <t>MANTHELON</t>
  </si>
  <si>
    <t>27388</t>
  </si>
  <si>
    <t>MARAIS-VERNIER</t>
  </si>
  <si>
    <t>27389</t>
  </si>
  <si>
    <t>MARBEUF</t>
  </si>
  <si>
    <t>27390</t>
  </si>
  <si>
    <t>MARCILLY-LA-CAMPAGNE</t>
  </si>
  <si>
    <t>27391</t>
  </si>
  <si>
    <t>MARCILLY-SUR-EURE</t>
  </si>
  <si>
    <t>27392</t>
  </si>
  <si>
    <t>MARTAGNY</t>
  </si>
  <si>
    <t>27393</t>
  </si>
  <si>
    <t>MARTAINVILLE</t>
  </si>
  <si>
    <t>27394</t>
  </si>
  <si>
    <t>MARTOT</t>
  </si>
  <si>
    <t>27395</t>
  </si>
  <si>
    <t>MÉLICOURT</t>
  </si>
  <si>
    <t>27396</t>
  </si>
  <si>
    <t>MÉNESQUEVILLE</t>
  </si>
  <si>
    <t>27397</t>
  </si>
  <si>
    <t>MÉNILLES</t>
  </si>
  <si>
    <t>27398</t>
  </si>
  <si>
    <t>MENNEVAL</t>
  </si>
  <si>
    <t>27399</t>
  </si>
  <si>
    <t>MERCEY</t>
  </si>
  <si>
    <t>27400</t>
  </si>
  <si>
    <t>MEREY</t>
  </si>
  <si>
    <t>27401</t>
  </si>
  <si>
    <t>27402</t>
  </si>
  <si>
    <t>27403</t>
  </si>
  <si>
    <t>27404</t>
  </si>
  <si>
    <t>MESNIL-ROUSSET</t>
  </si>
  <si>
    <t>27405</t>
  </si>
  <si>
    <t>MESNIL-SOUS-VIENNE</t>
  </si>
  <si>
    <t>27406</t>
  </si>
  <si>
    <t>MESNIL-SUR-L'ESTRÉE</t>
  </si>
  <si>
    <t>27407</t>
  </si>
  <si>
    <t>MESNIL-VERCLIVES</t>
  </si>
  <si>
    <t>27408</t>
  </si>
  <si>
    <t>MÉZIÈRES-EN-VEXIN</t>
  </si>
  <si>
    <t>27410</t>
  </si>
  <si>
    <t>MISEREY</t>
  </si>
  <si>
    <t>27411</t>
  </si>
  <si>
    <t>MOISVILLE</t>
  </si>
  <si>
    <t>27412</t>
  </si>
  <si>
    <t>MONTAURE</t>
  </si>
  <si>
    <t>27413</t>
  </si>
  <si>
    <t>MONTFORT-SUR-RISLE</t>
  </si>
  <si>
    <t>27414</t>
  </si>
  <si>
    <t>MONTREUIL-L'ARGILLÉ</t>
  </si>
  <si>
    <t>27415</t>
  </si>
  <si>
    <t>MORAINVILLE-JOUVEAUX</t>
  </si>
  <si>
    <t>27417</t>
  </si>
  <si>
    <t>MORGNY</t>
  </si>
  <si>
    <t>27418</t>
  </si>
  <si>
    <t>MORSAN</t>
  </si>
  <si>
    <t>27419</t>
  </si>
  <si>
    <t>MOUETTES</t>
  </si>
  <si>
    <t>27420</t>
  </si>
  <si>
    <t>MOUFLAINES</t>
  </si>
  <si>
    <t>27421</t>
  </si>
  <si>
    <t>MOUSSEAUX-NEUVILLE</t>
  </si>
  <si>
    <t>27422</t>
  </si>
  <si>
    <t>MUIDS</t>
  </si>
  <si>
    <t>27423</t>
  </si>
  <si>
    <t>MUZY</t>
  </si>
  <si>
    <t>27424</t>
  </si>
  <si>
    <t>NAGEL-SÉEZ-MESNIL</t>
  </si>
  <si>
    <t>27425</t>
  </si>
  <si>
    <t>NASSANDRES</t>
  </si>
  <si>
    <t>27427</t>
  </si>
  <si>
    <t>NEAUFLES-AUVERGNY</t>
  </si>
  <si>
    <t>27426</t>
  </si>
  <si>
    <t>NEAUFLES-SAINT-MARTIN</t>
  </si>
  <si>
    <t>27428</t>
  </si>
  <si>
    <t>27429</t>
  </si>
  <si>
    <t>NEUILLY</t>
  </si>
  <si>
    <t>27430</t>
  </si>
  <si>
    <t>27431</t>
  </si>
  <si>
    <t>27432</t>
  </si>
  <si>
    <t>27433</t>
  </si>
  <si>
    <t>NEUVILLE-SUR-AUTHOU</t>
  </si>
  <si>
    <t>27434</t>
  </si>
  <si>
    <t>NOARDS</t>
  </si>
  <si>
    <t>27435</t>
  </si>
  <si>
    <t>27436</t>
  </si>
  <si>
    <t>NOGENT-LE-SEC</t>
  </si>
  <si>
    <t>27437</t>
  </si>
  <si>
    <t>NOJEON-EN-VEXIN</t>
  </si>
  <si>
    <t>27438</t>
  </si>
  <si>
    <t>NONANCOURT</t>
  </si>
  <si>
    <t>27439</t>
  </si>
  <si>
    <t>NORMANVILLE</t>
  </si>
  <si>
    <t>27440</t>
  </si>
  <si>
    <t>NOTRE-DAME-DE-L'ISLE</t>
  </si>
  <si>
    <t>27441</t>
  </si>
  <si>
    <t>NOTRE-DAME-D'ÉPINE</t>
  </si>
  <si>
    <t>27442</t>
  </si>
  <si>
    <t>NOTRE-DAME-DU-HAMEL</t>
  </si>
  <si>
    <t>27444</t>
  </si>
  <si>
    <t>27445</t>
  </si>
  <si>
    <t>NOYERS</t>
  </si>
  <si>
    <t>27446</t>
  </si>
  <si>
    <t>ORMES</t>
  </si>
  <si>
    <t>27447</t>
  </si>
  <si>
    <t>ORVAUX</t>
  </si>
  <si>
    <t>27448</t>
  </si>
  <si>
    <t>PACY-SUR-EURE</t>
  </si>
  <si>
    <t>PACY SUR EURE</t>
  </si>
  <si>
    <t>27449</t>
  </si>
  <si>
    <t>PANILLEUSE</t>
  </si>
  <si>
    <t>27451</t>
  </si>
  <si>
    <t>PARVILLE</t>
  </si>
  <si>
    <t>27452</t>
  </si>
  <si>
    <t>PERRIERS-LA-CAMPAGNE</t>
  </si>
  <si>
    <t>27453</t>
  </si>
  <si>
    <t>PERRIERS-SUR-ANDELLE</t>
  </si>
  <si>
    <t>27454</t>
  </si>
  <si>
    <t>PERRUEL</t>
  </si>
  <si>
    <t>27455</t>
  </si>
  <si>
    <t>PIENCOURT</t>
  </si>
  <si>
    <t>27456</t>
  </si>
  <si>
    <t>PINTERVILLE</t>
  </si>
  <si>
    <t>27457</t>
  </si>
  <si>
    <t>PISEUX</t>
  </si>
  <si>
    <t>27458</t>
  </si>
  <si>
    <t>PÎTRES</t>
  </si>
  <si>
    <t>27459</t>
  </si>
  <si>
    <t>27460</t>
  </si>
  <si>
    <t>PLAINVILLE</t>
  </si>
  <si>
    <t>27462</t>
  </si>
  <si>
    <t>27463</t>
  </si>
  <si>
    <t>PLASNES</t>
  </si>
  <si>
    <t>27464</t>
  </si>
  <si>
    <t>27465</t>
  </si>
  <si>
    <t>27466</t>
  </si>
  <si>
    <t>27467</t>
  </si>
  <si>
    <t>PONT-AUDEMER</t>
  </si>
  <si>
    <t>27468</t>
  </si>
  <si>
    <t>PONT-AUTHOU</t>
  </si>
  <si>
    <t>27469</t>
  </si>
  <si>
    <t>PONT-DE-L'ARCHE</t>
  </si>
  <si>
    <t>27470</t>
  </si>
  <si>
    <t>PONT-SAINT-PIERRE</t>
  </si>
  <si>
    <t>27471</t>
  </si>
  <si>
    <t>PORTE-JOIE</t>
  </si>
  <si>
    <t>27472</t>
  </si>
  <si>
    <t>PORTES</t>
  </si>
  <si>
    <t>27473</t>
  </si>
  <si>
    <t>PORT-MORT</t>
  </si>
  <si>
    <t>27474</t>
  </si>
  <si>
    <t>POSES</t>
  </si>
  <si>
    <t>27475</t>
  </si>
  <si>
    <t>27476</t>
  </si>
  <si>
    <t>27477</t>
  </si>
  <si>
    <t>PRESSAGNY-L'ORGUEILLEUX</t>
  </si>
  <si>
    <t>27478</t>
  </si>
  <si>
    <t>PREY</t>
  </si>
  <si>
    <t>27480</t>
  </si>
  <si>
    <t>PUCHAY</t>
  </si>
  <si>
    <t>27481</t>
  </si>
  <si>
    <t>PULLAY</t>
  </si>
  <si>
    <t>27482</t>
  </si>
  <si>
    <t>27483</t>
  </si>
  <si>
    <t>QUATREMARE</t>
  </si>
  <si>
    <t>27484</t>
  </si>
  <si>
    <t>QUESSIGNY</t>
  </si>
  <si>
    <t>27485</t>
  </si>
  <si>
    <t>QUILLEBEUF-SUR-SEINE</t>
  </si>
  <si>
    <t>27486</t>
  </si>
  <si>
    <t>QUITTEBEUF</t>
  </si>
  <si>
    <t>27487</t>
  </si>
  <si>
    <t>RADEPONT</t>
  </si>
  <si>
    <t>27488</t>
  </si>
  <si>
    <t>RENNEVILLE</t>
  </si>
  <si>
    <t>27489</t>
  </si>
  <si>
    <t>REUILLY</t>
  </si>
  <si>
    <t>27490</t>
  </si>
  <si>
    <t>RICHEVILLE</t>
  </si>
  <si>
    <t>27491</t>
  </si>
  <si>
    <t>ROMAN</t>
  </si>
  <si>
    <t>27492</t>
  </si>
  <si>
    <t>ROMILLY-LA-PUTHENAYE</t>
  </si>
  <si>
    <t>27493</t>
  </si>
  <si>
    <t>ROMILLY-SUR-ANDELLE</t>
  </si>
  <si>
    <t>27024</t>
  </si>
  <si>
    <t>27495</t>
  </si>
  <si>
    <t>27496</t>
  </si>
  <si>
    <t>ROSAY-SUR-LIEURE</t>
  </si>
  <si>
    <t>27497</t>
  </si>
  <si>
    <t>ROUGEMONTIERS</t>
  </si>
  <si>
    <t>27498</t>
  </si>
  <si>
    <t>ROUGE-PERRIERS</t>
  </si>
  <si>
    <t>27499</t>
  </si>
  <si>
    <t>27500</t>
  </si>
  <si>
    <t>ROUTOT</t>
  </si>
  <si>
    <t>27501</t>
  </si>
  <si>
    <t>ROUVRAY</t>
  </si>
  <si>
    <t>27502</t>
  </si>
  <si>
    <t>RUGLES</t>
  </si>
  <si>
    <t>27503</t>
  </si>
  <si>
    <t>27504</t>
  </si>
  <si>
    <t>SACQUENVILLE</t>
  </si>
  <si>
    <t>27505</t>
  </si>
  <si>
    <t>SAINT-AGNAN-DE-CERNIÈRES</t>
  </si>
  <si>
    <t>27506</t>
  </si>
  <si>
    <t>SAINT-AMAND-DES-HAUTES-TERRES</t>
  </si>
  <si>
    <t>27507</t>
  </si>
  <si>
    <t>SAINT-ANDRÉ-DE-L'EURE</t>
  </si>
  <si>
    <t>27508</t>
  </si>
  <si>
    <t>SAINT-ANTONIN-DE-SOMMAIRE</t>
  </si>
  <si>
    <t>27510</t>
  </si>
  <si>
    <t>SAINT-AQUILIN-DE-PACY</t>
  </si>
  <si>
    <t>27511</t>
  </si>
  <si>
    <t>SAINT-AUBIN-D'ÉCROSVILLE</t>
  </si>
  <si>
    <t>27512</t>
  </si>
  <si>
    <t>SAINT-AUBIN-DE-SCELLON</t>
  </si>
  <si>
    <t>27513</t>
  </si>
  <si>
    <t>SAINT-AUBIN-DES-HAYES</t>
  </si>
  <si>
    <t>27514</t>
  </si>
  <si>
    <t>SAINT-AUBIN-DU-THENNEY</t>
  </si>
  <si>
    <t>27515</t>
  </si>
  <si>
    <t>SAINT-AUBIN-LE-GUICHARD</t>
  </si>
  <si>
    <t>27516</t>
  </si>
  <si>
    <t>SAINT-AUBIN-LE-VERTUEUX</t>
  </si>
  <si>
    <t>27517</t>
  </si>
  <si>
    <t>SAINT-AUBIN-SUR-GAILLON</t>
  </si>
  <si>
    <t>27518</t>
  </si>
  <si>
    <t>SAINT-AUBIN-SUR-QUILLEBEUF</t>
  </si>
  <si>
    <t>27520</t>
  </si>
  <si>
    <t>SAINT-BENOÎT-DES-OMBRES</t>
  </si>
  <si>
    <t>27521</t>
  </si>
  <si>
    <t>SAINT-CHRISTOPHE-SUR-AVRE</t>
  </si>
  <si>
    <t>27522</t>
  </si>
  <si>
    <t>SAINT-CHRISTOPHE-SUR-CONDÉ</t>
  </si>
  <si>
    <t>27523</t>
  </si>
  <si>
    <t>SAINT-CLAIR-D'ARCEY</t>
  </si>
  <si>
    <t>27527</t>
  </si>
  <si>
    <t>SAINT-CYR-DE-SALERNE</t>
  </si>
  <si>
    <t>27529</t>
  </si>
  <si>
    <t>SAINT-CYR-LA-CAMPAGNE</t>
  </si>
  <si>
    <t>27530</t>
  </si>
  <si>
    <t>SAINT-DENIS-D'AUGERONS</t>
  </si>
  <si>
    <t>27531</t>
  </si>
  <si>
    <t>SAINT-DENIS-DES-MONTS</t>
  </si>
  <si>
    <t>27532</t>
  </si>
  <si>
    <t>SAINT-DENIS-DU-BÉHÉLAN</t>
  </si>
  <si>
    <t>27533</t>
  </si>
  <si>
    <t>SAINT-DENIS-LE-FERMENT</t>
  </si>
  <si>
    <t>27534</t>
  </si>
  <si>
    <t>SAINT-DIDIER-DES-BOIS</t>
  </si>
  <si>
    <t>27519</t>
  </si>
  <si>
    <t>SAINTE-BARBE-SUR-GAILLON</t>
  </si>
  <si>
    <t>27524</t>
  </si>
  <si>
    <t>SAINTE-COLOMBE-LA-COMMANDERIE</t>
  </si>
  <si>
    <t>27525</t>
  </si>
  <si>
    <t>SAINTE-COLOMBE-PRÈS-VERNON</t>
  </si>
  <si>
    <t>27526</t>
  </si>
  <si>
    <t>SAINTE-CROIX-SUR-AIZIER</t>
  </si>
  <si>
    <t>27540</t>
  </si>
  <si>
    <t>SAINTE-GENEVIÈVE-LÈS-GASNY</t>
  </si>
  <si>
    <t>27535</t>
  </si>
  <si>
    <t>SAINT-ÉLIER</t>
  </si>
  <si>
    <t>27536</t>
  </si>
  <si>
    <t>SAINT-ÉLOI-DE-FOURQUES</t>
  </si>
  <si>
    <t>27565</t>
  </si>
  <si>
    <t>SAINTE-MARGUERITE-DE-L'AUTEL</t>
  </si>
  <si>
    <t>27566</t>
  </si>
  <si>
    <t>SAINTE-MARGUERITE-EN-OUCHE</t>
  </si>
  <si>
    <t>27567</t>
  </si>
  <si>
    <t>SAINTE-MARIE-DE-VATIMESNIL</t>
  </si>
  <si>
    <t>27568</t>
  </si>
  <si>
    <t>SAINTE-MARTHE</t>
  </si>
  <si>
    <t>27576</t>
  </si>
  <si>
    <t>SAINTE-OPPORTUNE-DU-BOSC</t>
  </si>
  <si>
    <t>27577</t>
  </si>
  <si>
    <t>SAINTE-OPPORTUNE-LA-MARE</t>
  </si>
  <si>
    <t>27537</t>
  </si>
  <si>
    <t>SAINT-ÉTIENNE-DU-VAUVRAY</t>
  </si>
  <si>
    <t>27538</t>
  </si>
  <si>
    <t>SAINT-ÉTIENNE-L'ALLIER</t>
  </si>
  <si>
    <t>27539</t>
  </si>
  <si>
    <t>SAINT-ÉTIENNE-SOUS-BAILLEUL</t>
  </si>
  <si>
    <t>27541</t>
  </si>
  <si>
    <t>SAINT-GEORGES-DU-MESNIL</t>
  </si>
  <si>
    <t>27542</t>
  </si>
  <si>
    <t>SAINT-GEORGES-DU-VIÈVRE</t>
  </si>
  <si>
    <t>27543</t>
  </si>
  <si>
    <t>SAINT-GEORGES-MOTEL</t>
  </si>
  <si>
    <t>27544</t>
  </si>
  <si>
    <t>SAINT-GERMAIN-DE-FRESNEY</t>
  </si>
  <si>
    <t>27545</t>
  </si>
  <si>
    <t>SAINT-GERMAIN-DE-PASQUIER</t>
  </si>
  <si>
    <t>27546</t>
  </si>
  <si>
    <t>SAINT-GERMAIN-DES-ANGLES</t>
  </si>
  <si>
    <t>27547</t>
  </si>
  <si>
    <t>SAINT-GERMAIN-LA-CAMPAGNE</t>
  </si>
  <si>
    <t>27548</t>
  </si>
  <si>
    <t>SAINT-GERMAIN-SUR-AVRE</t>
  </si>
  <si>
    <t>27549</t>
  </si>
  <si>
    <t>SAINT-GERMAIN-VILLAGE</t>
  </si>
  <si>
    <t>27550</t>
  </si>
  <si>
    <t>SAINT-GRÉGOIRE-DU-VIÈVRE</t>
  </si>
  <si>
    <t>27551</t>
  </si>
  <si>
    <t>SAINT-JEAN-DE-LA-LÉQUERAYE</t>
  </si>
  <si>
    <t>27552</t>
  </si>
  <si>
    <t>SAINT-JEAN-DU-THENNEY</t>
  </si>
  <si>
    <t>27553</t>
  </si>
  <si>
    <t>SAINT-JULIEN-DE-LA-LIÈGUE</t>
  </si>
  <si>
    <t>27554</t>
  </si>
  <si>
    <t>SAINT-JUST</t>
  </si>
  <si>
    <t>27555</t>
  </si>
  <si>
    <t>SAINT-LAURENT-DES-BOIS</t>
  </si>
  <si>
    <t>27556</t>
  </si>
  <si>
    <t>SAINT-LAURENT-DU-TENCEMENT</t>
  </si>
  <si>
    <t>27557</t>
  </si>
  <si>
    <t>SAINT-LÉGER-DE-RÔTES</t>
  </si>
  <si>
    <t>27558</t>
  </si>
  <si>
    <t>SAINT-LÉGER-DU-GENNETEY</t>
  </si>
  <si>
    <t>27560</t>
  </si>
  <si>
    <t>SAINT-LUC</t>
  </si>
  <si>
    <t>27561</t>
  </si>
  <si>
    <t>SAINT-MACLOU</t>
  </si>
  <si>
    <t>27562</t>
  </si>
  <si>
    <t>SAINT-MARCEL</t>
  </si>
  <si>
    <t>27563</t>
  </si>
  <si>
    <t>SAINT-MARDS-DE-BLACARVILLE</t>
  </si>
  <si>
    <t>27564</t>
  </si>
  <si>
    <t>SAINT-MARDS-DE-FRESNE</t>
  </si>
  <si>
    <t>27569</t>
  </si>
  <si>
    <t>SAINT-MARTIN-DU-TILLEUL</t>
  </si>
  <si>
    <t>27570</t>
  </si>
  <si>
    <t>SAINT-MARTIN-LA-CAMPAGNE</t>
  </si>
  <si>
    <t>27571</t>
  </si>
  <si>
    <t>SAINT-MARTIN-SAINT-FIRMIN</t>
  </si>
  <si>
    <t>27572</t>
  </si>
  <si>
    <t>SAINT-MESLIN-DU-BOSC</t>
  </si>
  <si>
    <t>27573</t>
  </si>
  <si>
    <t>SAINT-NICOLAS-D'ATTEZ</t>
  </si>
  <si>
    <t>27574</t>
  </si>
  <si>
    <t>SAINT-NICOLAS-DU-BOSC</t>
  </si>
  <si>
    <t>27578</t>
  </si>
  <si>
    <t>SAINT-OUEN-D'ATTEZ</t>
  </si>
  <si>
    <t>27579</t>
  </si>
  <si>
    <t>SAINT-OUEN-DE-PONTCHEUIL</t>
  </si>
  <si>
    <t>27581</t>
  </si>
  <si>
    <t>SAINT-OUEN-DES-CHAMPS</t>
  </si>
  <si>
    <t>27580</t>
  </si>
  <si>
    <t>SAINT-OUEN-DE-THOUBERVILLE</t>
  </si>
  <si>
    <t>27582</t>
  </si>
  <si>
    <t>SAINT-OUEN-DU-TILLEUL</t>
  </si>
  <si>
    <t>27584</t>
  </si>
  <si>
    <t>SAINT-PAUL-DE-FOURQUES</t>
  </si>
  <si>
    <t>27586</t>
  </si>
  <si>
    <t>SAINT-PHILBERT-SUR-BOISSEY</t>
  </si>
  <si>
    <t>27587</t>
  </si>
  <si>
    <t>SAINT-PHILBERT-SUR-RISLE</t>
  </si>
  <si>
    <t>27588</t>
  </si>
  <si>
    <t>SAINT-PIERRE-D'AUTILS</t>
  </si>
  <si>
    <t>27589</t>
  </si>
  <si>
    <t>SAINT-PIERRE-DE-BAILLEUL</t>
  </si>
  <si>
    <t>27590</t>
  </si>
  <si>
    <t>SAINT-PIERRE-DE-CERNIÈRES</t>
  </si>
  <si>
    <t>27591</t>
  </si>
  <si>
    <t>SAINT-PIERRE-DE-CORMEILLES</t>
  </si>
  <si>
    <t>27592</t>
  </si>
  <si>
    <t>SAINT-PIERRE-DE-SALERNE</t>
  </si>
  <si>
    <t>27593</t>
  </si>
  <si>
    <t>SAINT-PIERRE-DES-FLEURS</t>
  </si>
  <si>
    <t>27594</t>
  </si>
  <si>
    <t>SAINT-PIERRE-DES-IFS</t>
  </si>
  <si>
    <t>27595</t>
  </si>
  <si>
    <t>SAINT-PIERRE-DU-BOSGUÉRARD</t>
  </si>
  <si>
    <t>27596</t>
  </si>
  <si>
    <t>SAINT-PIERRE-DU-MESNIL</t>
  </si>
  <si>
    <t>27597</t>
  </si>
  <si>
    <t>SAINT-PIERRE-DU-VAL</t>
  </si>
  <si>
    <t>27598</t>
  </si>
  <si>
    <t>SAINT-PIERRE-DU-VAUVRAY</t>
  </si>
  <si>
    <t>27599</t>
  </si>
  <si>
    <t>SAINT-PIERRE-LA-GARENNE</t>
  </si>
  <si>
    <t>27600</t>
  </si>
  <si>
    <t>SAINT-QUENTIN-DES-ISLES</t>
  </si>
  <si>
    <t>27601</t>
  </si>
  <si>
    <t>SAINT-SAMSON-DE-LA-ROQUE</t>
  </si>
  <si>
    <t>27602</t>
  </si>
  <si>
    <t>SAINT-SÉBASTIEN-DE-MORSENT</t>
  </si>
  <si>
    <t>27603</t>
  </si>
  <si>
    <t>SAINT-SIMÉON</t>
  </si>
  <si>
    <t>27604</t>
  </si>
  <si>
    <t>SAINT-SULPICE-DE-GRIMBOUVILLE</t>
  </si>
  <si>
    <t>27605</t>
  </si>
  <si>
    <t>SAINT-SYLVESTRE-DE-CORMEILLES</t>
  </si>
  <si>
    <t>27606</t>
  </si>
  <si>
    <t>SAINT-SYMPHORIEN</t>
  </si>
  <si>
    <t>27607</t>
  </si>
  <si>
    <t>SAINT-THURIEN</t>
  </si>
  <si>
    <t>27608</t>
  </si>
  <si>
    <t>SAINT-VICTOR-DE-CHRÉTIENVILLE</t>
  </si>
  <si>
    <t>27609</t>
  </si>
  <si>
    <t>SAINT-VICTOR-D'ÉPINE</t>
  </si>
  <si>
    <t>27610</t>
  </si>
  <si>
    <t>SAINT-VICTOR-SUR-AVRE</t>
  </si>
  <si>
    <t>27611</t>
  </si>
  <si>
    <t>SAINT-VIGOR</t>
  </si>
  <si>
    <t>27612</t>
  </si>
  <si>
    <t>SAINT-VINCENT-DES-BOIS</t>
  </si>
  <si>
    <t>27613</t>
  </si>
  <si>
    <t>SAINT-VINCENT-DU-BOULAY</t>
  </si>
  <si>
    <t>27614</t>
  </si>
  <si>
    <t>SANCOURT</t>
  </si>
  <si>
    <t>27615</t>
  </si>
  <si>
    <t>SASSEY</t>
  </si>
  <si>
    <t>27616</t>
  </si>
  <si>
    <t>27617</t>
  </si>
  <si>
    <t>SAUSSAY-LA-CAMPAGNE</t>
  </si>
  <si>
    <t>27618</t>
  </si>
  <si>
    <t>SÉBÉCOURT</t>
  </si>
  <si>
    <t>27620</t>
  </si>
  <si>
    <t>SELLES</t>
  </si>
  <si>
    <t>27621</t>
  </si>
  <si>
    <t>SEREZ</t>
  </si>
  <si>
    <t>27622</t>
  </si>
  <si>
    <t>SERQUIGNY</t>
  </si>
  <si>
    <t>27623</t>
  </si>
  <si>
    <t>SURTAUVILLE</t>
  </si>
  <si>
    <t>27624</t>
  </si>
  <si>
    <t>SURVILLE</t>
  </si>
  <si>
    <t>27625</t>
  </si>
  <si>
    <t>SUZAY</t>
  </si>
  <si>
    <t>27693</t>
  </si>
  <si>
    <t>SYLVAINS-LES-MOULINS</t>
  </si>
  <si>
    <t>27626</t>
  </si>
  <si>
    <t>THEILLEMENT</t>
  </si>
  <si>
    <t>27627</t>
  </si>
  <si>
    <t>27628</t>
  </si>
  <si>
    <t>THEVRAY</t>
  </si>
  <si>
    <t>27629</t>
  </si>
  <si>
    <t>THIBERVILLE</t>
  </si>
  <si>
    <t>27630</t>
  </si>
  <si>
    <t>THIBOUVILLE</t>
  </si>
  <si>
    <t>27631</t>
  </si>
  <si>
    <t>THIERVILLE</t>
  </si>
  <si>
    <t>27632</t>
  </si>
  <si>
    <t>27633</t>
  </si>
  <si>
    <t>27634</t>
  </si>
  <si>
    <t>THOMER-LA-SÔGNE</t>
  </si>
  <si>
    <t>27635</t>
  </si>
  <si>
    <t>27636</t>
  </si>
  <si>
    <t>LE THUIT DE L'OISON</t>
  </si>
  <si>
    <t>27637</t>
  </si>
  <si>
    <t>THUIT-HÉBERT</t>
  </si>
  <si>
    <t>27638</t>
  </si>
  <si>
    <t>27639</t>
  </si>
  <si>
    <t>27640</t>
  </si>
  <si>
    <t>TILLEUL-DAME-AGNÈS</t>
  </si>
  <si>
    <t>27641</t>
  </si>
  <si>
    <t>27642</t>
  </si>
  <si>
    <t>27643</t>
  </si>
  <si>
    <t>TILLIÈRES-SUR-AVRE</t>
  </si>
  <si>
    <t>27644</t>
  </si>
  <si>
    <t>TILLY</t>
  </si>
  <si>
    <t>27645</t>
  </si>
  <si>
    <t>TOCQUEVILLE</t>
  </si>
  <si>
    <t>27646</t>
  </si>
  <si>
    <t>27647</t>
  </si>
  <si>
    <t>TOSNY</t>
  </si>
  <si>
    <t>27648</t>
  </si>
  <si>
    <t>TOSTES</t>
  </si>
  <si>
    <t>27649</t>
  </si>
  <si>
    <t>TOUFFREVILLE</t>
  </si>
  <si>
    <t>27650</t>
  </si>
  <si>
    <t>TOURNEDOS-BOIS-HUBERT</t>
  </si>
  <si>
    <t>27651</t>
  </si>
  <si>
    <t>TOURNEDOS-SUR-SEINE</t>
  </si>
  <si>
    <t>27652</t>
  </si>
  <si>
    <t>TOURNEVILLE</t>
  </si>
  <si>
    <t>27653</t>
  </si>
  <si>
    <t>TOURNY</t>
  </si>
  <si>
    <t>27654</t>
  </si>
  <si>
    <t>TOURVILLE-LA-CAMPAGNE</t>
  </si>
  <si>
    <t>27655</t>
  </si>
  <si>
    <t>TOURVILLE-SUR-PONT-AUDEMER</t>
  </si>
  <si>
    <t>27656</t>
  </si>
  <si>
    <t>TOUTAINVILLE</t>
  </si>
  <si>
    <t>27657</t>
  </si>
  <si>
    <t>TOUVILLE</t>
  </si>
  <si>
    <t>27658</t>
  </si>
  <si>
    <t>27659</t>
  </si>
  <si>
    <t>27660</t>
  </si>
  <si>
    <t>27661</t>
  </si>
  <si>
    <t>27662</t>
  </si>
  <si>
    <t>TRIQUEVILLE</t>
  </si>
  <si>
    <t>27663</t>
  </si>
  <si>
    <t>27664</t>
  </si>
  <si>
    <t>27665</t>
  </si>
  <si>
    <t>TROUVILLE-LA-HAULE</t>
  </si>
  <si>
    <t>27666</t>
  </si>
  <si>
    <t>27667</t>
  </si>
  <si>
    <t>VALAILLES</t>
  </si>
  <si>
    <t>27668</t>
  </si>
  <si>
    <t>27701</t>
  </si>
  <si>
    <t>VAL-DE-REUIL</t>
  </si>
  <si>
    <t>27669</t>
  </si>
  <si>
    <t>VALLETOT</t>
  </si>
  <si>
    <t>27670</t>
  </si>
  <si>
    <t>VANDRIMARE</t>
  </si>
  <si>
    <t>27671</t>
  </si>
  <si>
    <t>VANNECROCQ</t>
  </si>
  <si>
    <t>27672</t>
  </si>
  <si>
    <t>VASCŒUIL</t>
  </si>
  <si>
    <t>27673</t>
  </si>
  <si>
    <t>VATTEVILLE</t>
  </si>
  <si>
    <t>27528</t>
  </si>
  <si>
    <t>27674</t>
  </si>
  <si>
    <t>VAUX-SUR-EURE</t>
  </si>
  <si>
    <t>27676</t>
  </si>
  <si>
    <t>VENABLES</t>
  </si>
  <si>
    <t>27677</t>
  </si>
  <si>
    <t>VENON</t>
  </si>
  <si>
    <t>27678</t>
  </si>
  <si>
    <t>27679</t>
  </si>
  <si>
    <t>VERNEUIL-SUR-AVRE</t>
  </si>
  <si>
    <t>27680</t>
  </si>
  <si>
    <t>VERNEUSSES</t>
  </si>
  <si>
    <t>27681</t>
  </si>
  <si>
    <t>VERNON</t>
  </si>
  <si>
    <t>27682</t>
  </si>
  <si>
    <t>VESLY</t>
  </si>
  <si>
    <t>27683</t>
  </si>
  <si>
    <t>VÉZILLON</t>
  </si>
  <si>
    <t>27684</t>
  </si>
  <si>
    <t>27685</t>
  </si>
  <si>
    <t>27686</t>
  </si>
  <si>
    <t>VIEUX-PORT</t>
  </si>
  <si>
    <t>27687</t>
  </si>
  <si>
    <t>VIEUX-VILLEZ</t>
  </si>
  <si>
    <t>27688</t>
  </si>
  <si>
    <t>VILLALET</t>
  </si>
  <si>
    <t>27689</t>
  </si>
  <si>
    <t>VILLEGATS</t>
  </si>
  <si>
    <t>27690</t>
  </si>
  <si>
    <t>VILLERS-EN-VEXIN</t>
  </si>
  <si>
    <t>27691</t>
  </si>
  <si>
    <t>VILLERS-SUR-LE-ROULE</t>
  </si>
  <si>
    <t>27692</t>
  </si>
  <si>
    <t>VILLETTES</t>
  </si>
  <si>
    <t>27694</t>
  </si>
  <si>
    <t>VILLEZ-SOUS-BAILLEUL</t>
  </si>
  <si>
    <t>27695</t>
  </si>
  <si>
    <t>VILLEZ-SUR-LE-NEUBOURG</t>
  </si>
  <si>
    <t>27696</t>
  </si>
  <si>
    <t>VILLIERS-EN-DÉSŒUVRE</t>
  </si>
  <si>
    <t>27697</t>
  </si>
  <si>
    <t>VIRONVAY</t>
  </si>
  <si>
    <t>27698</t>
  </si>
  <si>
    <t>VITOT</t>
  </si>
  <si>
    <t>27699</t>
  </si>
  <si>
    <t>VOISCREVILLE</t>
  </si>
  <si>
    <t>27700</t>
  </si>
  <si>
    <t>VRAIVILLE</t>
  </si>
  <si>
    <t xml:space="preserve">LES ANDELYS </t>
  </si>
  <si>
    <t xml:space="preserve">LES AUTHIEUX </t>
  </si>
  <si>
    <t xml:space="preserve">LES BARILS </t>
  </si>
  <si>
    <t>LA BARRE-EN-OUCHE</t>
  </si>
  <si>
    <t>LES BAUX-DE-BRETEUIL</t>
  </si>
  <si>
    <t xml:space="preserve">LES BAUX-SAINTE-CROIX </t>
  </si>
  <si>
    <t xml:space="preserve">LE BEC-HELLOUIN </t>
  </si>
  <si>
    <t>LE BEC-THOMAS</t>
  </si>
  <si>
    <t>LE BOIS-HELLAIN</t>
  </si>
  <si>
    <t>LA BOISSIÈRE</t>
  </si>
  <si>
    <t>LA BONNEVILLE-SUR-ITON</t>
  </si>
  <si>
    <t>LE BOSC-ROGER-EN-ROUMOIS</t>
  </si>
  <si>
    <t xml:space="preserve">LES BOTTEREAUX </t>
  </si>
  <si>
    <t>LE BOULAY-MORIN</t>
  </si>
  <si>
    <t>LA CHAPELLE-BAYVEL</t>
  </si>
  <si>
    <t>LA CHAPELLE-GAUTHIER</t>
  </si>
  <si>
    <t>LA CHAPELLE-HARENG</t>
  </si>
  <si>
    <t>LA CHAPELLE-RÉANVILLE</t>
  </si>
  <si>
    <t>LE CHESNE</t>
  </si>
  <si>
    <t>LE CORMIER</t>
  </si>
  <si>
    <t>LA COUTURE-BOUSSEY</t>
  </si>
  <si>
    <t xml:space="preserve">LA CROISILLE </t>
  </si>
  <si>
    <t xml:space="preserve">LA CROIX-SAINT-LEUFROY </t>
  </si>
  <si>
    <t xml:space="preserve">LES DAMPS </t>
  </si>
  <si>
    <t xml:space="preserve">LES ESSARTS </t>
  </si>
  <si>
    <t>LE FAVRIL</t>
  </si>
  <si>
    <t>LA FERRIÈRE-SUR-RISLE</t>
  </si>
  <si>
    <t>LE FIDELAIRE</t>
  </si>
  <si>
    <t>LA FORÊT-DU-PARC</t>
  </si>
  <si>
    <t>LE FRESNE</t>
  </si>
  <si>
    <t xml:space="preserve">LA GOULAFRIÈRE </t>
  </si>
  <si>
    <t>LE GROS-THEIL</t>
  </si>
  <si>
    <t>LA GUÉROULDE</t>
  </si>
  <si>
    <t>L'HABIT</t>
  </si>
  <si>
    <t>LA HARENGÈRE</t>
  </si>
  <si>
    <t>LA HAYE-AUBRÉE</t>
  </si>
  <si>
    <t>LA HAYE-DE-CALLEVILLE</t>
  </si>
  <si>
    <t xml:space="preserve">LA HAYE-DE-ROUTOT </t>
  </si>
  <si>
    <t xml:space="preserve">LA HAYE-DU-THEIL </t>
  </si>
  <si>
    <t>LA HAYE-LE-COMTE</t>
  </si>
  <si>
    <t xml:space="preserve">LA HAYE-MALHERBE </t>
  </si>
  <si>
    <t xml:space="preserve">LA HAYE-SAINT-SYLVESTRE </t>
  </si>
  <si>
    <t>LA HEUNIÈRE</t>
  </si>
  <si>
    <t xml:space="preserve">LES HOGUES </t>
  </si>
  <si>
    <t>L'HOSMES</t>
  </si>
  <si>
    <t xml:space="preserve">LA HOUSSAYE </t>
  </si>
  <si>
    <t xml:space="preserve">LA LANDE-SAINT-LÉGER </t>
  </si>
  <si>
    <t xml:space="preserve">LE LANDIN </t>
  </si>
  <si>
    <t xml:space="preserve">LA MADELEINE-DE-NONANCOURT </t>
  </si>
  <si>
    <t xml:space="preserve">LE MANOIR </t>
  </si>
  <si>
    <t>LE MESNIL-FUGUET</t>
  </si>
  <si>
    <t>LE MESNIL-HARDRAY</t>
  </si>
  <si>
    <t>LE MESNIL-JOURDAIN</t>
  </si>
  <si>
    <t xml:space="preserve">LE NEUBOURG </t>
  </si>
  <si>
    <t>LA NEUVE-GRANGE</t>
  </si>
  <si>
    <t xml:space="preserve">LA NEUVE-LYRE </t>
  </si>
  <si>
    <t xml:space="preserve">LA NEUVILLE-DU-BOSC </t>
  </si>
  <si>
    <t xml:space="preserve">LA NOE POULAIN </t>
  </si>
  <si>
    <t xml:space="preserve">LE NOYER-EN-OUCHE </t>
  </si>
  <si>
    <t>LES PLACES</t>
  </si>
  <si>
    <t>LE PLANQUAY</t>
  </si>
  <si>
    <t xml:space="preserve">LE PLESSIS-GROHAN </t>
  </si>
  <si>
    <t xml:space="preserve">LE PLESSIS-HÉBERT </t>
  </si>
  <si>
    <t xml:space="preserve">LE PLESSIS-SAINTE-OPPORTUNE </t>
  </si>
  <si>
    <t xml:space="preserve">LA POTERIE-MATHIEU </t>
  </si>
  <si>
    <t xml:space="preserve">LES PRÉAUX </t>
  </si>
  <si>
    <t>LA PYLE</t>
  </si>
  <si>
    <t xml:space="preserve">LE RONCENAY-AUTHENAY </t>
  </si>
  <si>
    <t xml:space="preserve">LA ROQUETTE </t>
  </si>
  <si>
    <t>LA ROUSSIÈRE</t>
  </si>
  <si>
    <t xml:space="preserve">LE SACQ </t>
  </si>
  <si>
    <t>LA SAUSSAYE</t>
  </si>
  <si>
    <t>LE THEIL-NOLENT</t>
  </si>
  <si>
    <t xml:space="preserve">LE THIL </t>
  </si>
  <si>
    <t>LES THILLIERS-EN-VEXIN</t>
  </si>
  <si>
    <t xml:space="preserve">LE THUIT </t>
  </si>
  <si>
    <t>LE THUIT-ANGER</t>
  </si>
  <si>
    <t>LE THUIT-SIGNOL</t>
  </si>
  <si>
    <t>LE THUIT-SIMER</t>
  </si>
  <si>
    <t>LE TILLEUL-LAMBERT</t>
  </si>
  <si>
    <t>LE TILLEUL-OTHON</t>
  </si>
  <si>
    <t>LE TORPT</t>
  </si>
  <si>
    <t>LE TREMBLAY-OMONVILLE</t>
  </si>
  <si>
    <t>LA TRINITÉ</t>
  </si>
  <si>
    <t>LA TRINITÉ-DE-RÉVILLE</t>
  </si>
  <si>
    <t>LA TRINITÉ-DE-THOUBERVILLE</t>
  </si>
  <si>
    <t>LE TRONCQ</t>
  </si>
  <si>
    <t>LE TRONQUAY</t>
  </si>
  <si>
    <t>LA VACHERIE</t>
  </si>
  <si>
    <t>LE VAL-DAVID</t>
  </si>
  <si>
    <t>LE VAUDREUIL</t>
  </si>
  <si>
    <t>LES VENTES</t>
  </si>
  <si>
    <t>LE VIEIL-ÉVREUX</t>
  </si>
  <si>
    <t>LA VIEILLE-LYRE</t>
  </si>
  <si>
    <t>CC Roumois Seine</t>
  </si>
  <si>
    <t>CC du Plateau du Neubourg</t>
  </si>
  <si>
    <t>CC du Pays de Honfleur Beuzeville</t>
  </si>
  <si>
    <t>CC Pont Audemer  Val de Risle</t>
  </si>
  <si>
    <t>CC Lieuvin Pays d'Auge</t>
  </si>
  <si>
    <t>CC Intercom Bernay Terres de Normandie</t>
  </si>
  <si>
    <t>CC Interco Normandie Sud Eure</t>
  </si>
  <si>
    <t>CA Evreux Portes de Normandie</t>
  </si>
  <si>
    <t>LA CHAPELLE-DU-BOIS-DES-FAULX</t>
  </si>
  <si>
    <t>CA Seine Normandie Agglomération</t>
  </si>
  <si>
    <t>CC du Vexin Normand</t>
  </si>
  <si>
    <t>CC de Lyons Andelle</t>
  </si>
  <si>
    <t>CC du Pays de Conches en Ouche</t>
  </si>
  <si>
    <t>CC du plateau du Neubourg</t>
  </si>
  <si>
    <t>CA Seine Eure</t>
  </si>
  <si>
    <t>CLEF-VALLEE-D'EURE</t>
  </si>
  <si>
    <t>TERRES-DE-BORD</t>
  </si>
  <si>
    <t>PORTE DE SEINE</t>
  </si>
  <si>
    <t>HORS DPT - CC DES QUATRE RIVIÈRES</t>
  </si>
  <si>
    <t>HORS DPT - AGGLO DU PAYS DE DREUX</t>
  </si>
  <si>
    <t>FRENELLES-EN-VEXIN</t>
  </si>
  <si>
    <t>GOUPIL-OTHON</t>
  </si>
  <si>
    <t>LA CHAPELLE-LONGUEVILLE</t>
  </si>
  <si>
    <t>LE BOSC-DU-THEIL</t>
  </si>
  <si>
    <t>LE MESNIL-SAINT-JEAN</t>
  </si>
  <si>
    <t>LE VAL-DORÉ</t>
  </si>
  <si>
    <t>NASSANDRES-SUR-RISLE</t>
  </si>
  <si>
    <t>THÉNOUVILLE</t>
  </si>
  <si>
    <t>TREIS-SANTS-EN-OUCHE</t>
  </si>
  <si>
    <t>VAL D'ORGER</t>
  </si>
  <si>
    <t>Commune</t>
  </si>
  <si>
    <t>EPCI 2020</t>
  </si>
  <si>
    <t>Assistant de gestion</t>
  </si>
  <si>
    <t>Sectorisation des instructeurs de la MDPH - Dossiers adultes</t>
  </si>
  <si>
    <t>Code INSEE</t>
  </si>
  <si>
    <t>Code EPCI</t>
  </si>
  <si>
    <t>Nom EPCI</t>
  </si>
  <si>
    <t>Communes nouvelles</t>
  </si>
  <si>
    <t>Muriel</t>
  </si>
  <si>
    <t>Nadège</t>
  </si>
  <si>
    <t>Sofia</t>
  </si>
  <si>
    <t>ÉVREUX</t>
  </si>
  <si>
    <t>Évreux</t>
  </si>
  <si>
    <t>27229</t>
  </si>
  <si>
    <t>Amélie</t>
  </si>
  <si>
    <t>Christelle</t>
  </si>
  <si>
    <t>Ouest Bernay</t>
  </si>
  <si>
    <t>Sud Evreux</t>
  </si>
  <si>
    <t>Est Vernon</t>
  </si>
  <si>
    <t>UTAS</t>
  </si>
  <si>
    <t>Territoire Social</t>
  </si>
  <si>
    <t>Territoire social</t>
  </si>
  <si>
    <t>Pays du Neubourg/Roumois Seine</t>
  </si>
  <si>
    <t>Pont Audemer Val de Risle Honfleur Beuzeville Lieuvin Pays d'auge</t>
  </si>
  <si>
    <t>Bernay Terres de Normandie</t>
  </si>
  <si>
    <t>Evreux portes de Normandie</t>
  </si>
  <si>
    <t>Seine Normandie Agglomération</t>
  </si>
  <si>
    <t>Vexin Normand Lyons Andelle</t>
  </si>
  <si>
    <t>Seine Eure</t>
  </si>
  <si>
    <t>Marjorie</t>
  </si>
  <si>
    <t>Pays de Conches Normandie</t>
  </si>
  <si>
    <t>Christine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</si>
</sst>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9"/>
      <name val="Eras Medium ITC"/>
      <family val="2"/>
    </font>
    <font>
      <sz val="11"/>
      <name val="Eras Medium ITC"/>
      <family val="2"/>
    </font>
    <font>
      <sz val="8"/>
      <name val="Eras Medium ITC"/>
      <family val="2"/>
    </font>
    <font>
      <b/>
      <sz val="16"/>
      <color theme="1"/>
      <name val="Eras Medium ITC"/>
      <family val="2"/>
    </font>
    <font>
      <sz val="11"/>
      <color theme="1"/>
      <name val="Eras Medium ITC"/>
      <family val="2"/>
    </font>
    <font>
      <b/>
      <sz val="14"/>
      <color theme="1"/>
      <name val="Eras Medium ITC"/>
      <family val="2"/>
    </font>
    <font>
      <b/>
      <sz val="14"/>
      <name val="Eras Medium ITC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C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2">
    <xf numFmtId="0" fontId="0" fillId="0" borderId="0" xfId="0"/>
    <xf numFmtId="0" fontId="3" fillId="0" borderId="0" xfId="0" applyFont="1" applyFill="1" applyAlignment="1">
      <alignment horizontal="center"/>
    </xf>
    <xf numFmtId="0" fontId="2" fillId="0" borderId="0" xfId="0" applyFont="1" applyFill="1" applyBorder="1"/>
    <xf numFmtId="0" fontId="2" fillId="0" borderId="0" xfId="0" applyFont="1" applyFill="1"/>
    <xf numFmtId="0" fontId="2" fillId="0" borderId="0" xfId="0" applyFont="1" applyFill="1" applyAlignment="1">
      <alignment horizontal="center" vertical="center" wrapText="1"/>
    </xf>
    <xf numFmtId="0" fontId="4" fillId="0" borderId="0" xfId="0" applyFont="1" applyFill="1"/>
    <xf numFmtId="0" fontId="2" fillId="0" borderId="0" xfId="0" applyFont="1" applyFill="1" applyBorder="1" applyAlignment="1">
      <alignment vertical="center"/>
    </xf>
    <xf numFmtId="0" fontId="2" fillId="0" borderId="0" xfId="1" applyFont="1" applyFill="1" applyBorder="1">
      <alignment vertical="center"/>
    </xf>
    <xf numFmtId="0" fontId="4" fillId="0" borderId="0" xfId="0" applyFont="1" applyFill="1" applyBorder="1"/>
    <xf numFmtId="0" fontId="5" fillId="0" borderId="0" xfId="0" applyFont="1"/>
    <xf numFmtId="0" fontId="6" fillId="0" borderId="0" xfId="0" applyFont="1"/>
    <xf numFmtId="0" fontId="8" fillId="0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3" fillId="2" borderId="1" xfId="0" applyFont="1" applyFill="1" applyBorder="1"/>
    <xf numFmtId="49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/>
    <xf numFmtId="49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49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/>
    <xf numFmtId="0" fontId="3" fillId="4" borderId="0" xfId="0" applyFont="1" applyFill="1" applyBorder="1"/>
    <xf numFmtId="0" fontId="3" fillId="5" borderId="1" xfId="0" applyFont="1" applyFill="1" applyBorder="1"/>
    <xf numFmtId="49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vertical="center"/>
    </xf>
    <xf numFmtId="0" fontId="3" fillId="6" borderId="1" xfId="0" applyFont="1" applyFill="1" applyBorder="1"/>
    <xf numFmtId="49" fontId="3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vertical="center"/>
    </xf>
    <xf numFmtId="0" fontId="3" fillId="6" borderId="0" xfId="0" applyFont="1" applyFill="1" applyBorder="1"/>
    <xf numFmtId="0" fontId="3" fillId="7" borderId="1" xfId="0" applyFont="1" applyFill="1" applyBorder="1"/>
    <xf numFmtId="49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vertical="center"/>
    </xf>
    <xf numFmtId="0" fontId="3" fillId="7" borderId="1" xfId="1" applyFont="1" applyFill="1" applyBorder="1">
      <alignment vertical="center"/>
    </xf>
    <xf numFmtId="0" fontId="3" fillId="8" borderId="1" xfId="0" applyFont="1" applyFill="1" applyBorder="1"/>
    <xf numFmtId="49" fontId="3" fillId="8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vertical="center"/>
    </xf>
    <xf numFmtId="0" fontId="3" fillId="8" borderId="0" xfId="0" applyFont="1" applyFill="1" applyBorder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2">
    <cellStyle name="FUSION" xfId="1"/>
    <cellStyle name="Normal" xfId="0" builtinId="0"/>
  </cellStyles>
  <dxfs count="17">
    <dxf>
      <fill>
        <patternFill>
          <bgColor rgb="FFFF4343"/>
        </patternFill>
      </fill>
    </dxf>
    <dxf>
      <fill>
        <patternFill>
          <bgColor theme="4" tint="0.79998168889431442"/>
        </patternFill>
      </fill>
    </dxf>
    <dxf>
      <fill>
        <patternFill>
          <bgColor rgb="FFF09456"/>
        </patternFill>
      </fill>
    </dxf>
    <dxf>
      <fill>
        <patternFill>
          <bgColor rgb="FFFBF237"/>
        </patternFill>
      </fill>
    </dxf>
    <dxf>
      <fill>
        <patternFill>
          <bgColor rgb="FFF1C8FC"/>
        </patternFill>
      </fill>
    </dxf>
    <dxf>
      <fill>
        <patternFill>
          <bgColor rgb="FFBC8FDD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C00000"/>
        </patternFill>
      </fill>
    </dxf>
    <dxf>
      <fill>
        <patternFill>
          <bgColor theme="4" tint="0.79998168889431442"/>
        </patternFill>
      </fill>
    </dxf>
    <dxf>
      <fill>
        <patternFill>
          <bgColor rgb="FFF09456"/>
        </patternFill>
      </fill>
    </dxf>
    <dxf>
      <fill>
        <patternFill>
          <bgColor rgb="FFFBF237"/>
        </patternFill>
      </fill>
    </dxf>
    <dxf>
      <fill>
        <patternFill>
          <bgColor rgb="FFF1C8FC"/>
        </patternFill>
      </fill>
    </dxf>
    <dxf>
      <fill>
        <patternFill>
          <bgColor rgb="FFBC8FDD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4343"/>
      <color rgb="FFFF1111"/>
      <color rgb="FF990000"/>
      <color rgb="FFF09456"/>
      <color rgb="FFF09252"/>
      <color rgb="FFFBF237"/>
      <color rgb="FFF1C8FC"/>
      <color rgb="FFEBAFFB"/>
      <color rgb="FFFF9999"/>
      <color rgb="FFBC8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05"/>
  <sheetViews>
    <sheetView showGridLines="0" tabSelected="1" topLeftCell="A658" zoomScale="85" zoomScaleNormal="85" workbookViewId="0">
      <selection activeCell="N680" sqref="N680"/>
    </sheetView>
  </sheetViews>
  <sheetFormatPr baseColWidth="10" defaultRowHeight="15" x14ac:dyDescent="0.25"/>
  <cols>
    <col min="1" max="1" width="37.140625" style="2" customWidth="1"/>
    <col min="2" max="2" width="16.7109375" style="1" customWidth="1"/>
    <col min="3" max="3" width="32.140625" style="2" customWidth="1"/>
    <col min="4" max="4" width="0.28515625" style="3" hidden="1" customWidth="1"/>
    <col min="5" max="5" width="39.7109375" style="3" hidden="1" customWidth="1"/>
    <col min="6" max="6" width="0.140625" style="3" hidden="1" customWidth="1"/>
    <col min="7" max="7" width="33.85546875" style="3" customWidth="1"/>
    <col min="8" max="8" width="14.42578125" style="3" hidden="1" customWidth="1"/>
    <col min="9" max="256" width="11.42578125" style="3"/>
    <col min="257" max="257" width="9.85546875" style="3" customWidth="1"/>
    <col min="258" max="258" width="29.28515625" style="3" customWidth="1"/>
    <col min="259" max="259" width="22.5703125" style="3" customWidth="1"/>
    <col min="260" max="260" width="10.28515625" style="3" customWidth="1"/>
    <col min="261" max="261" width="0" style="3" hidden="1" customWidth="1"/>
    <col min="262" max="512" width="11.42578125" style="3"/>
    <col min="513" max="513" width="9.85546875" style="3" customWidth="1"/>
    <col min="514" max="514" width="29.28515625" style="3" customWidth="1"/>
    <col min="515" max="515" width="22.5703125" style="3" customWidth="1"/>
    <col min="516" max="516" width="10.28515625" style="3" customWidth="1"/>
    <col min="517" max="517" width="0" style="3" hidden="1" customWidth="1"/>
    <col min="518" max="768" width="11.42578125" style="3"/>
    <col min="769" max="769" width="9.85546875" style="3" customWidth="1"/>
    <col min="770" max="770" width="29.28515625" style="3" customWidth="1"/>
    <col min="771" max="771" width="22.5703125" style="3" customWidth="1"/>
    <col min="772" max="772" width="10.28515625" style="3" customWidth="1"/>
    <col min="773" max="773" width="0" style="3" hidden="1" customWidth="1"/>
    <col min="774" max="1024" width="11.42578125" style="3"/>
    <col min="1025" max="1025" width="9.85546875" style="3" customWidth="1"/>
    <col min="1026" max="1026" width="29.28515625" style="3" customWidth="1"/>
    <col min="1027" max="1027" width="22.5703125" style="3" customWidth="1"/>
    <col min="1028" max="1028" width="10.28515625" style="3" customWidth="1"/>
    <col min="1029" max="1029" width="0" style="3" hidden="1" customWidth="1"/>
    <col min="1030" max="1280" width="11.42578125" style="3"/>
    <col min="1281" max="1281" width="9.85546875" style="3" customWidth="1"/>
    <col min="1282" max="1282" width="29.28515625" style="3" customWidth="1"/>
    <col min="1283" max="1283" width="22.5703125" style="3" customWidth="1"/>
    <col min="1284" max="1284" width="10.28515625" style="3" customWidth="1"/>
    <col min="1285" max="1285" width="0" style="3" hidden="1" customWidth="1"/>
    <col min="1286" max="1536" width="11.42578125" style="3"/>
    <col min="1537" max="1537" width="9.85546875" style="3" customWidth="1"/>
    <col min="1538" max="1538" width="29.28515625" style="3" customWidth="1"/>
    <col min="1539" max="1539" width="22.5703125" style="3" customWidth="1"/>
    <col min="1540" max="1540" width="10.28515625" style="3" customWidth="1"/>
    <col min="1541" max="1541" width="0" style="3" hidden="1" customWidth="1"/>
    <col min="1542" max="1792" width="11.42578125" style="3"/>
    <col min="1793" max="1793" width="9.85546875" style="3" customWidth="1"/>
    <col min="1794" max="1794" width="29.28515625" style="3" customWidth="1"/>
    <col min="1795" max="1795" width="22.5703125" style="3" customWidth="1"/>
    <col min="1796" max="1796" width="10.28515625" style="3" customWidth="1"/>
    <col min="1797" max="1797" width="0" style="3" hidden="1" customWidth="1"/>
    <col min="1798" max="2048" width="11.42578125" style="3"/>
    <col min="2049" max="2049" width="9.85546875" style="3" customWidth="1"/>
    <col min="2050" max="2050" width="29.28515625" style="3" customWidth="1"/>
    <col min="2051" max="2051" width="22.5703125" style="3" customWidth="1"/>
    <col min="2052" max="2052" width="10.28515625" style="3" customWidth="1"/>
    <col min="2053" max="2053" width="0" style="3" hidden="1" customWidth="1"/>
    <col min="2054" max="2304" width="11.42578125" style="3"/>
    <col min="2305" max="2305" width="9.85546875" style="3" customWidth="1"/>
    <col min="2306" max="2306" width="29.28515625" style="3" customWidth="1"/>
    <col min="2307" max="2307" width="22.5703125" style="3" customWidth="1"/>
    <col min="2308" max="2308" width="10.28515625" style="3" customWidth="1"/>
    <col min="2309" max="2309" width="0" style="3" hidden="1" customWidth="1"/>
    <col min="2310" max="2560" width="11.42578125" style="3"/>
    <col min="2561" max="2561" width="9.85546875" style="3" customWidth="1"/>
    <col min="2562" max="2562" width="29.28515625" style="3" customWidth="1"/>
    <col min="2563" max="2563" width="22.5703125" style="3" customWidth="1"/>
    <col min="2564" max="2564" width="10.28515625" style="3" customWidth="1"/>
    <col min="2565" max="2565" width="0" style="3" hidden="1" customWidth="1"/>
    <col min="2566" max="2816" width="11.42578125" style="3"/>
    <col min="2817" max="2817" width="9.85546875" style="3" customWidth="1"/>
    <col min="2818" max="2818" width="29.28515625" style="3" customWidth="1"/>
    <col min="2819" max="2819" width="22.5703125" style="3" customWidth="1"/>
    <col min="2820" max="2820" width="10.28515625" style="3" customWidth="1"/>
    <col min="2821" max="2821" width="0" style="3" hidden="1" customWidth="1"/>
    <col min="2822" max="3072" width="11.42578125" style="3"/>
    <col min="3073" max="3073" width="9.85546875" style="3" customWidth="1"/>
    <col min="3074" max="3074" width="29.28515625" style="3" customWidth="1"/>
    <col min="3075" max="3075" width="22.5703125" style="3" customWidth="1"/>
    <col min="3076" max="3076" width="10.28515625" style="3" customWidth="1"/>
    <col min="3077" max="3077" width="0" style="3" hidden="1" customWidth="1"/>
    <col min="3078" max="3328" width="11.42578125" style="3"/>
    <col min="3329" max="3329" width="9.85546875" style="3" customWidth="1"/>
    <col min="3330" max="3330" width="29.28515625" style="3" customWidth="1"/>
    <col min="3331" max="3331" width="22.5703125" style="3" customWidth="1"/>
    <col min="3332" max="3332" width="10.28515625" style="3" customWidth="1"/>
    <col min="3333" max="3333" width="0" style="3" hidden="1" customWidth="1"/>
    <col min="3334" max="3584" width="11.42578125" style="3"/>
    <col min="3585" max="3585" width="9.85546875" style="3" customWidth="1"/>
    <col min="3586" max="3586" width="29.28515625" style="3" customWidth="1"/>
    <col min="3587" max="3587" width="22.5703125" style="3" customWidth="1"/>
    <col min="3588" max="3588" width="10.28515625" style="3" customWidth="1"/>
    <col min="3589" max="3589" width="0" style="3" hidden="1" customWidth="1"/>
    <col min="3590" max="3840" width="11.42578125" style="3"/>
    <col min="3841" max="3841" width="9.85546875" style="3" customWidth="1"/>
    <col min="3842" max="3842" width="29.28515625" style="3" customWidth="1"/>
    <col min="3843" max="3843" width="22.5703125" style="3" customWidth="1"/>
    <col min="3844" max="3844" width="10.28515625" style="3" customWidth="1"/>
    <col min="3845" max="3845" width="0" style="3" hidden="1" customWidth="1"/>
    <col min="3846" max="4096" width="11.42578125" style="3"/>
    <col min="4097" max="4097" width="9.85546875" style="3" customWidth="1"/>
    <col min="4098" max="4098" width="29.28515625" style="3" customWidth="1"/>
    <col min="4099" max="4099" width="22.5703125" style="3" customWidth="1"/>
    <col min="4100" max="4100" width="10.28515625" style="3" customWidth="1"/>
    <col min="4101" max="4101" width="0" style="3" hidden="1" customWidth="1"/>
    <col min="4102" max="4352" width="11.42578125" style="3"/>
    <col min="4353" max="4353" width="9.85546875" style="3" customWidth="1"/>
    <col min="4354" max="4354" width="29.28515625" style="3" customWidth="1"/>
    <col min="4355" max="4355" width="22.5703125" style="3" customWidth="1"/>
    <col min="4356" max="4356" width="10.28515625" style="3" customWidth="1"/>
    <col min="4357" max="4357" width="0" style="3" hidden="1" customWidth="1"/>
    <col min="4358" max="4608" width="11.42578125" style="3"/>
    <col min="4609" max="4609" width="9.85546875" style="3" customWidth="1"/>
    <col min="4610" max="4610" width="29.28515625" style="3" customWidth="1"/>
    <col min="4611" max="4611" width="22.5703125" style="3" customWidth="1"/>
    <col min="4612" max="4612" width="10.28515625" style="3" customWidth="1"/>
    <col min="4613" max="4613" width="0" style="3" hidden="1" customWidth="1"/>
    <col min="4614" max="4864" width="11.42578125" style="3"/>
    <col min="4865" max="4865" width="9.85546875" style="3" customWidth="1"/>
    <col min="4866" max="4866" width="29.28515625" style="3" customWidth="1"/>
    <col min="4867" max="4867" width="22.5703125" style="3" customWidth="1"/>
    <col min="4868" max="4868" width="10.28515625" style="3" customWidth="1"/>
    <col min="4869" max="4869" width="0" style="3" hidden="1" customWidth="1"/>
    <col min="4870" max="5120" width="11.42578125" style="3"/>
    <col min="5121" max="5121" width="9.85546875" style="3" customWidth="1"/>
    <col min="5122" max="5122" width="29.28515625" style="3" customWidth="1"/>
    <col min="5123" max="5123" width="22.5703125" style="3" customWidth="1"/>
    <col min="5124" max="5124" width="10.28515625" style="3" customWidth="1"/>
    <col min="5125" max="5125" width="0" style="3" hidden="1" customWidth="1"/>
    <col min="5126" max="5376" width="11.42578125" style="3"/>
    <col min="5377" max="5377" width="9.85546875" style="3" customWidth="1"/>
    <col min="5378" max="5378" width="29.28515625" style="3" customWidth="1"/>
    <col min="5379" max="5379" width="22.5703125" style="3" customWidth="1"/>
    <col min="5380" max="5380" width="10.28515625" style="3" customWidth="1"/>
    <col min="5381" max="5381" width="0" style="3" hidden="1" customWidth="1"/>
    <col min="5382" max="5632" width="11.42578125" style="3"/>
    <col min="5633" max="5633" width="9.85546875" style="3" customWidth="1"/>
    <col min="5634" max="5634" width="29.28515625" style="3" customWidth="1"/>
    <col min="5635" max="5635" width="22.5703125" style="3" customWidth="1"/>
    <col min="5636" max="5636" width="10.28515625" style="3" customWidth="1"/>
    <col min="5637" max="5637" width="0" style="3" hidden="1" customWidth="1"/>
    <col min="5638" max="5888" width="11.42578125" style="3"/>
    <col min="5889" max="5889" width="9.85546875" style="3" customWidth="1"/>
    <col min="5890" max="5890" width="29.28515625" style="3" customWidth="1"/>
    <col min="5891" max="5891" width="22.5703125" style="3" customWidth="1"/>
    <col min="5892" max="5892" width="10.28515625" style="3" customWidth="1"/>
    <col min="5893" max="5893" width="0" style="3" hidden="1" customWidth="1"/>
    <col min="5894" max="6144" width="11.42578125" style="3"/>
    <col min="6145" max="6145" width="9.85546875" style="3" customWidth="1"/>
    <col min="6146" max="6146" width="29.28515625" style="3" customWidth="1"/>
    <col min="6147" max="6147" width="22.5703125" style="3" customWidth="1"/>
    <col min="6148" max="6148" width="10.28515625" style="3" customWidth="1"/>
    <col min="6149" max="6149" width="0" style="3" hidden="1" customWidth="1"/>
    <col min="6150" max="6400" width="11.42578125" style="3"/>
    <col min="6401" max="6401" width="9.85546875" style="3" customWidth="1"/>
    <col min="6402" max="6402" width="29.28515625" style="3" customWidth="1"/>
    <col min="6403" max="6403" width="22.5703125" style="3" customWidth="1"/>
    <col min="6404" max="6404" width="10.28515625" style="3" customWidth="1"/>
    <col min="6405" max="6405" width="0" style="3" hidden="1" customWidth="1"/>
    <col min="6406" max="6656" width="11.42578125" style="3"/>
    <col min="6657" max="6657" width="9.85546875" style="3" customWidth="1"/>
    <col min="6658" max="6658" width="29.28515625" style="3" customWidth="1"/>
    <col min="6659" max="6659" width="22.5703125" style="3" customWidth="1"/>
    <col min="6660" max="6660" width="10.28515625" style="3" customWidth="1"/>
    <col min="6661" max="6661" width="0" style="3" hidden="1" customWidth="1"/>
    <col min="6662" max="6912" width="11.42578125" style="3"/>
    <col min="6913" max="6913" width="9.85546875" style="3" customWidth="1"/>
    <col min="6914" max="6914" width="29.28515625" style="3" customWidth="1"/>
    <col min="6915" max="6915" width="22.5703125" style="3" customWidth="1"/>
    <col min="6916" max="6916" width="10.28515625" style="3" customWidth="1"/>
    <col min="6917" max="6917" width="0" style="3" hidden="1" customWidth="1"/>
    <col min="6918" max="7168" width="11.42578125" style="3"/>
    <col min="7169" max="7169" width="9.85546875" style="3" customWidth="1"/>
    <col min="7170" max="7170" width="29.28515625" style="3" customWidth="1"/>
    <col min="7171" max="7171" width="22.5703125" style="3" customWidth="1"/>
    <col min="7172" max="7172" width="10.28515625" style="3" customWidth="1"/>
    <col min="7173" max="7173" width="0" style="3" hidden="1" customWidth="1"/>
    <col min="7174" max="7424" width="11.42578125" style="3"/>
    <col min="7425" max="7425" width="9.85546875" style="3" customWidth="1"/>
    <col min="7426" max="7426" width="29.28515625" style="3" customWidth="1"/>
    <col min="7427" max="7427" width="22.5703125" style="3" customWidth="1"/>
    <col min="7428" max="7428" width="10.28515625" style="3" customWidth="1"/>
    <col min="7429" max="7429" width="0" style="3" hidden="1" customWidth="1"/>
    <col min="7430" max="7680" width="11.42578125" style="3"/>
    <col min="7681" max="7681" width="9.85546875" style="3" customWidth="1"/>
    <col min="7682" max="7682" width="29.28515625" style="3" customWidth="1"/>
    <col min="7683" max="7683" width="22.5703125" style="3" customWidth="1"/>
    <col min="7684" max="7684" width="10.28515625" style="3" customWidth="1"/>
    <col min="7685" max="7685" width="0" style="3" hidden="1" customWidth="1"/>
    <col min="7686" max="7936" width="11.42578125" style="3"/>
    <col min="7937" max="7937" width="9.85546875" style="3" customWidth="1"/>
    <col min="7938" max="7938" width="29.28515625" style="3" customWidth="1"/>
    <col min="7939" max="7939" width="22.5703125" style="3" customWidth="1"/>
    <col min="7940" max="7940" width="10.28515625" style="3" customWidth="1"/>
    <col min="7941" max="7941" width="0" style="3" hidden="1" customWidth="1"/>
    <col min="7942" max="8192" width="11.42578125" style="3"/>
    <col min="8193" max="8193" width="9.85546875" style="3" customWidth="1"/>
    <col min="8194" max="8194" width="29.28515625" style="3" customWidth="1"/>
    <col min="8195" max="8195" width="22.5703125" style="3" customWidth="1"/>
    <col min="8196" max="8196" width="10.28515625" style="3" customWidth="1"/>
    <col min="8197" max="8197" width="0" style="3" hidden="1" customWidth="1"/>
    <col min="8198" max="8448" width="11.42578125" style="3"/>
    <col min="8449" max="8449" width="9.85546875" style="3" customWidth="1"/>
    <col min="8450" max="8450" width="29.28515625" style="3" customWidth="1"/>
    <col min="8451" max="8451" width="22.5703125" style="3" customWidth="1"/>
    <col min="8452" max="8452" width="10.28515625" style="3" customWidth="1"/>
    <col min="8453" max="8453" width="0" style="3" hidden="1" customWidth="1"/>
    <col min="8454" max="8704" width="11.42578125" style="3"/>
    <col min="8705" max="8705" width="9.85546875" style="3" customWidth="1"/>
    <col min="8706" max="8706" width="29.28515625" style="3" customWidth="1"/>
    <col min="8707" max="8707" width="22.5703125" style="3" customWidth="1"/>
    <col min="8708" max="8708" width="10.28515625" style="3" customWidth="1"/>
    <col min="8709" max="8709" width="0" style="3" hidden="1" customWidth="1"/>
    <col min="8710" max="8960" width="11.42578125" style="3"/>
    <col min="8961" max="8961" width="9.85546875" style="3" customWidth="1"/>
    <col min="8962" max="8962" width="29.28515625" style="3" customWidth="1"/>
    <col min="8963" max="8963" width="22.5703125" style="3" customWidth="1"/>
    <col min="8964" max="8964" width="10.28515625" style="3" customWidth="1"/>
    <col min="8965" max="8965" width="0" style="3" hidden="1" customWidth="1"/>
    <col min="8966" max="9216" width="11.42578125" style="3"/>
    <col min="9217" max="9217" width="9.85546875" style="3" customWidth="1"/>
    <col min="9218" max="9218" width="29.28515625" style="3" customWidth="1"/>
    <col min="9219" max="9219" width="22.5703125" style="3" customWidth="1"/>
    <col min="9220" max="9220" width="10.28515625" style="3" customWidth="1"/>
    <col min="9221" max="9221" width="0" style="3" hidden="1" customWidth="1"/>
    <col min="9222" max="9472" width="11.42578125" style="3"/>
    <col min="9473" max="9473" width="9.85546875" style="3" customWidth="1"/>
    <col min="9474" max="9474" width="29.28515625" style="3" customWidth="1"/>
    <col min="9475" max="9475" width="22.5703125" style="3" customWidth="1"/>
    <col min="9476" max="9476" width="10.28515625" style="3" customWidth="1"/>
    <col min="9477" max="9477" width="0" style="3" hidden="1" customWidth="1"/>
    <col min="9478" max="9728" width="11.42578125" style="3"/>
    <col min="9729" max="9729" width="9.85546875" style="3" customWidth="1"/>
    <col min="9730" max="9730" width="29.28515625" style="3" customWidth="1"/>
    <col min="9731" max="9731" width="22.5703125" style="3" customWidth="1"/>
    <col min="9732" max="9732" width="10.28515625" style="3" customWidth="1"/>
    <col min="9733" max="9733" width="0" style="3" hidden="1" customWidth="1"/>
    <col min="9734" max="9984" width="11.42578125" style="3"/>
    <col min="9985" max="9985" width="9.85546875" style="3" customWidth="1"/>
    <col min="9986" max="9986" width="29.28515625" style="3" customWidth="1"/>
    <col min="9987" max="9987" width="22.5703125" style="3" customWidth="1"/>
    <col min="9988" max="9988" width="10.28515625" style="3" customWidth="1"/>
    <col min="9989" max="9989" width="0" style="3" hidden="1" customWidth="1"/>
    <col min="9990" max="10240" width="11.42578125" style="3"/>
    <col min="10241" max="10241" width="9.85546875" style="3" customWidth="1"/>
    <col min="10242" max="10242" width="29.28515625" style="3" customWidth="1"/>
    <col min="10243" max="10243" width="22.5703125" style="3" customWidth="1"/>
    <col min="10244" max="10244" width="10.28515625" style="3" customWidth="1"/>
    <col min="10245" max="10245" width="0" style="3" hidden="1" customWidth="1"/>
    <col min="10246" max="10496" width="11.42578125" style="3"/>
    <col min="10497" max="10497" width="9.85546875" style="3" customWidth="1"/>
    <col min="10498" max="10498" width="29.28515625" style="3" customWidth="1"/>
    <col min="10499" max="10499" width="22.5703125" style="3" customWidth="1"/>
    <col min="10500" max="10500" width="10.28515625" style="3" customWidth="1"/>
    <col min="10501" max="10501" width="0" style="3" hidden="1" customWidth="1"/>
    <col min="10502" max="10752" width="11.42578125" style="3"/>
    <col min="10753" max="10753" width="9.85546875" style="3" customWidth="1"/>
    <col min="10754" max="10754" width="29.28515625" style="3" customWidth="1"/>
    <col min="10755" max="10755" width="22.5703125" style="3" customWidth="1"/>
    <col min="10756" max="10756" width="10.28515625" style="3" customWidth="1"/>
    <col min="10757" max="10757" width="0" style="3" hidden="1" customWidth="1"/>
    <col min="10758" max="11008" width="11.42578125" style="3"/>
    <col min="11009" max="11009" width="9.85546875" style="3" customWidth="1"/>
    <col min="11010" max="11010" width="29.28515625" style="3" customWidth="1"/>
    <col min="11011" max="11011" width="22.5703125" style="3" customWidth="1"/>
    <col min="11012" max="11012" width="10.28515625" style="3" customWidth="1"/>
    <col min="11013" max="11013" width="0" style="3" hidden="1" customWidth="1"/>
    <col min="11014" max="11264" width="11.42578125" style="3"/>
    <col min="11265" max="11265" width="9.85546875" style="3" customWidth="1"/>
    <col min="11266" max="11266" width="29.28515625" style="3" customWidth="1"/>
    <col min="11267" max="11267" width="22.5703125" style="3" customWidth="1"/>
    <col min="11268" max="11268" width="10.28515625" style="3" customWidth="1"/>
    <col min="11269" max="11269" width="0" style="3" hidden="1" customWidth="1"/>
    <col min="11270" max="11520" width="11.42578125" style="3"/>
    <col min="11521" max="11521" width="9.85546875" style="3" customWidth="1"/>
    <col min="11522" max="11522" width="29.28515625" style="3" customWidth="1"/>
    <col min="11523" max="11523" width="22.5703125" style="3" customWidth="1"/>
    <col min="11524" max="11524" width="10.28515625" style="3" customWidth="1"/>
    <col min="11525" max="11525" width="0" style="3" hidden="1" customWidth="1"/>
    <col min="11526" max="11776" width="11.42578125" style="3"/>
    <col min="11777" max="11777" width="9.85546875" style="3" customWidth="1"/>
    <col min="11778" max="11778" width="29.28515625" style="3" customWidth="1"/>
    <col min="11779" max="11779" width="22.5703125" style="3" customWidth="1"/>
    <col min="11780" max="11780" width="10.28515625" style="3" customWidth="1"/>
    <col min="11781" max="11781" width="0" style="3" hidden="1" customWidth="1"/>
    <col min="11782" max="12032" width="11.42578125" style="3"/>
    <col min="12033" max="12033" width="9.85546875" style="3" customWidth="1"/>
    <col min="12034" max="12034" width="29.28515625" style="3" customWidth="1"/>
    <col min="12035" max="12035" width="22.5703125" style="3" customWidth="1"/>
    <col min="12036" max="12036" width="10.28515625" style="3" customWidth="1"/>
    <col min="12037" max="12037" width="0" style="3" hidden="1" customWidth="1"/>
    <col min="12038" max="12288" width="11.42578125" style="3"/>
    <col min="12289" max="12289" width="9.85546875" style="3" customWidth="1"/>
    <col min="12290" max="12290" width="29.28515625" style="3" customWidth="1"/>
    <col min="12291" max="12291" width="22.5703125" style="3" customWidth="1"/>
    <col min="12292" max="12292" width="10.28515625" style="3" customWidth="1"/>
    <col min="12293" max="12293" width="0" style="3" hidden="1" customWidth="1"/>
    <col min="12294" max="12544" width="11.42578125" style="3"/>
    <col min="12545" max="12545" width="9.85546875" style="3" customWidth="1"/>
    <col min="12546" max="12546" width="29.28515625" style="3" customWidth="1"/>
    <col min="12547" max="12547" width="22.5703125" style="3" customWidth="1"/>
    <col min="12548" max="12548" width="10.28515625" style="3" customWidth="1"/>
    <col min="12549" max="12549" width="0" style="3" hidden="1" customWidth="1"/>
    <col min="12550" max="12800" width="11.42578125" style="3"/>
    <col min="12801" max="12801" width="9.85546875" style="3" customWidth="1"/>
    <col min="12802" max="12802" width="29.28515625" style="3" customWidth="1"/>
    <col min="12803" max="12803" width="22.5703125" style="3" customWidth="1"/>
    <col min="12804" max="12804" width="10.28515625" style="3" customWidth="1"/>
    <col min="12805" max="12805" width="0" style="3" hidden="1" customWidth="1"/>
    <col min="12806" max="13056" width="11.42578125" style="3"/>
    <col min="13057" max="13057" width="9.85546875" style="3" customWidth="1"/>
    <col min="13058" max="13058" width="29.28515625" style="3" customWidth="1"/>
    <col min="13059" max="13059" width="22.5703125" style="3" customWidth="1"/>
    <col min="13060" max="13060" width="10.28515625" style="3" customWidth="1"/>
    <col min="13061" max="13061" width="0" style="3" hidden="1" customWidth="1"/>
    <col min="13062" max="13312" width="11.42578125" style="3"/>
    <col min="13313" max="13313" width="9.85546875" style="3" customWidth="1"/>
    <col min="13314" max="13314" width="29.28515625" style="3" customWidth="1"/>
    <col min="13315" max="13315" width="22.5703125" style="3" customWidth="1"/>
    <col min="13316" max="13316" width="10.28515625" style="3" customWidth="1"/>
    <col min="13317" max="13317" width="0" style="3" hidden="1" customWidth="1"/>
    <col min="13318" max="13568" width="11.42578125" style="3"/>
    <col min="13569" max="13569" width="9.85546875" style="3" customWidth="1"/>
    <col min="13570" max="13570" width="29.28515625" style="3" customWidth="1"/>
    <col min="13571" max="13571" width="22.5703125" style="3" customWidth="1"/>
    <col min="13572" max="13572" width="10.28515625" style="3" customWidth="1"/>
    <col min="13573" max="13573" width="0" style="3" hidden="1" customWidth="1"/>
    <col min="13574" max="13824" width="11.42578125" style="3"/>
    <col min="13825" max="13825" width="9.85546875" style="3" customWidth="1"/>
    <col min="13826" max="13826" width="29.28515625" style="3" customWidth="1"/>
    <col min="13827" max="13827" width="22.5703125" style="3" customWidth="1"/>
    <col min="13828" max="13828" width="10.28515625" style="3" customWidth="1"/>
    <col min="13829" max="13829" width="0" style="3" hidden="1" customWidth="1"/>
    <col min="13830" max="14080" width="11.42578125" style="3"/>
    <col min="14081" max="14081" width="9.85546875" style="3" customWidth="1"/>
    <col min="14082" max="14082" width="29.28515625" style="3" customWidth="1"/>
    <col min="14083" max="14083" width="22.5703125" style="3" customWidth="1"/>
    <col min="14084" max="14084" width="10.28515625" style="3" customWidth="1"/>
    <col min="14085" max="14085" width="0" style="3" hidden="1" customWidth="1"/>
    <col min="14086" max="14336" width="11.42578125" style="3"/>
    <col min="14337" max="14337" width="9.85546875" style="3" customWidth="1"/>
    <col min="14338" max="14338" width="29.28515625" style="3" customWidth="1"/>
    <col min="14339" max="14339" width="22.5703125" style="3" customWidth="1"/>
    <col min="14340" max="14340" width="10.28515625" style="3" customWidth="1"/>
    <col min="14341" max="14341" width="0" style="3" hidden="1" customWidth="1"/>
    <col min="14342" max="14592" width="11.42578125" style="3"/>
    <col min="14593" max="14593" width="9.85546875" style="3" customWidth="1"/>
    <col min="14594" max="14594" width="29.28515625" style="3" customWidth="1"/>
    <col min="14595" max="14595" width="22.5703125" style="3" customWidth="1"/>
    <col min="14596" max="14596" width="10.28515625" style="3" customWidth="1"/>
    <col min="14597" max="14597" width="0" style="3" hidden="1" customWidth="1"/>
    <col min="14598" max="14848" width="11.42578125" style="3"/>
    <col min="14849" max="14849" width="9.85546875" style="3" customWidth="1"/>
    <col min="14850" max="14850" width="29.28515625" style="3" customWidth="1"/>
    <col min="14851" max="14851" width="22.5703125" style="3" customWidth="1"/>
    <col min="14852" max="14852" width="10.28515625" style="3" customWidth="1"/>
    <col min="14853" max="14853" width="0" style="3" hidden="1" customWidth="1"/>
    <col min="14854" max="15104" width="11.42578125" style="3"/>
    <col min="15105" max="15105" width="9.85546875" style="3" customWidth="1"/>
    <col min="15106" max="15106" width="29.28515625" style="3" customWidth="1"/>
    <col min="15107" max="15107" width="22.5703125" style="3" customWidth="1"/>
    <col min="15108" max="15108" width="10.28515625" style="3" customWidth="1"/>
    <col min="15109" max="15109" width="0" style="3" hidden="1" customWidth="1"/>
    <col min="15110" max="15360" width="11.42578125" style="3"/>
    <col min="15361" max="15361" width="9.85546875" style="3" customWidth="1"/>
    <col min="15362" max="15362" width="29.28515625" style="3" customWidth="1"/>
    <col min="15363" max="15363" width="22.5703125" style="3" customWidth="1"/>
    <col min="15364" max="15364" width="10.28515625" style="3" customWidth="1"/>
    <col min="15365" max="15365" width="0" style="3" hidden="1" customWidth="1"/>
    <col min="15366" max="15616" width="11.42578125" style="3"/>
    <col min="15617" max="15617" width="9.85546875" style="3" customWidth="1"/>
    <col min="15618" max="15618" width="29.28515625" style="3" customWidth="1"/>
    <col min="15619" max="15619" width="22.5703125" style="3" customWidth="1"/>
    <col min="15620" max="15620" width="10.28515625" style="3" customWidth="1"/>
    <col min="15621" max="15621" width="0" style="3" hidden="1" customWidth="1"/>
    <col min="15622" max="15872" width="11.42578125" style="3"/>
    <col min="15873" max="15873" width="9.85546875" style="3" customWidth="1"/>
    <col min="15874" max="15874" width="29.28515625" style="3" customWidth="1"/>
    <col min="15875" max="15875" width="22.5703125" style="3" customWidth="1"/>
    <col min="15876" max="15876" width="10.28515625" style="3" customWidth="1"/>
    <col min="15877" max="15877" width="0" style="3" hidden="1" customWidth="1"/>
    <col min="15878" max="16128" width="11.42578125" style="3"/>
    <col min="16129" max="16129" width="9.85546875" style="3" customWidth="1"/>
    <col min="16130" max="16130" width="29.28515625" style="3" customWidth="1"/>
    <col min="16131" max="16131" width="22.5703125" style="3" customWidth="1"/>
    <col min="16132" max="16132" width="10.28515625" style="3" customWidth="1"/>
    <col min="16133" max="16133" width="0" style="3" hidden="1" customWidth="1"/>
    <col min="16134" max="16382" width="11.42578125" style="3"/>
    <col min="16383" max="16384" width="11.42578125" style="3" customWidth="1"/>
  </cols>
  <sheetData>
    <row r="1" spans="1:8" ht="20.25" x14ac:dyDescent="0.3">
      <c r="A1" s="9" t="s">
        <v>1417</v>
      </c>
      <c r="B1" s="10"/>
      <c r="C1" s="10"/>
      <c r="D1" s="10"/>
      <c r="E1" s="10"/>
      <c r="F1" s="10"/>
    </row>
    <row r="2" spans="1:8" ht="20.25" x14ac:dyDescent="0.3">
      <c r="A2" s="9"/>
      <c r="B2" s="10"/>
      <c r="C2" s="10"/>
      <c r="D2" s="10"/>
      <c r="E2" s="10"/>
      <c r="F2" s="10"/>
    </row>
    <row r="3" spans="1:8" ht="37.5" x14ac:dyDescent="0.2">
      <c r="A3" s="40" t="s">
        <v>1414</v>
      </c>
      <c r="B3" s="41" t="s">
        <v>1418</v>
      </c>
      <c r="C3" s="40" t="s">
        <v>1421</v>
      </c>
      <c r="D3" s="41" t="s">
        <v>1419</v>
      </c>
      <c r="E3" s="41" t="s">
        <v>1420</v>
      </c>
      <c r="F3" s="41" t="s">
        <v>1435</v>
      </c>
      <c r="G3" s="41" t="s">
        <v>1416</v>
      </c>
      <c r="H3" s="41" t="s">
        <v>1433</v>
      </c>
    </row>
    <row r="4" spans="1:8" x14ac:dyDescent="0.25">
      <c r="A4" s="13" t="s">
        <v>1425</v>
      </c>
      <c r="B4" s="14" t="str">
        <f>VLOOKUP($A$4,$A$9:$G$683,2,FALSE)</f>
        <v>27229</v>
      </c>
      <c r="C4" s="14">
        <f>VLOOKUP($A$4,$A$9:$G$683,3,FALSE)</f>
        <v>0</v>
      </c>
      <c r="D4" s="14" t="str">
        <f>VLOOKUP($A$4,$A$9:$G$683,4,FALSE)</f>
        <v>EPCI 07</v>
      </c>
      <c r="E4" s="14" t="str">
        <f>VLOOKUP($A$4,$A$9:$G$683,5,FALSE)</f>
        <v>CA Evreux Portes de Normandie</v>
      </c>
      <c r="F4" s="14" t="str">
        <f>VLOOKUP($A$4,$A$9:$G$683,6,FALSE)</f>
        <v>Evreux portes de Normandie</v>
      </c>
      <c r="G4" s="14" t="str">
        <f>VLOOKUP($A$4,$A$9:$G$683,7,FALSE)</f>
        <v>Amélie</v>
      </c>
      <c r="H4" s="14" t="str">
        <f>VLOOKUP($A$4,$A$9:$H$683,8,FALSE)</f>
        <v>Sud Evreux</v>
      </c>
    </row>
    <row r="6" spans="1:8" ht="1.5" customHeight="1" x14ac:dyDescent="0.25"/>
    <row r="7" spans="1:8" hidden="1" x14ac:dyDescent="0.25"/>
    <row r="8" spans="1:8" s="4" customFormat="1" ht="53.25" customHeight="1" x14ac:dyDescent="0.25">
      <c r="A8" s="11" t="s">
        <v>1414</v>
      </c>
      <c r="B8" s="12" t="s">
        <v>0</v>
      </c>
      <c r="C8" s="11" t="s">
        <v>1421</v>
      </c>
      <c r="D8" s="11" t="s">
        <v>1</v>
      </c>
      <c r="E8" s="11" t="s">
        <v>1415</v>
      </c>
      <c r="F8" s="11" t="s">
        <v>1434</v>
      </c>
      <c r="G8" s="11" t="s">
        <v>1416</v>
      </c>
      <c r="H8" s="11" t="s">
        <v>1433</v>
      </c>
    </row>
    <row r="9" spans="1:8" x14ac:dyDescent="0.25">
      <c r="A9" s="28" t="s">
        <v>3</v>
      </c>
      <c r="B9" s="29" t="s">
        <v>2</v>
      </c>
      <c r="C9" s="28"/>
      <c r="D9" s="28" t="s">
        <v>4</v>
      </c>
      <c r="E9" s="28" t="s">
        <v>1389</v>
      </c>
      <c r="F9" s="28" t="s">
        <v>1438</v>
      </c>
      <c r="G9" s="28" t="s">
        <v>1423</v>
      </c>
      <c r="H9" s="28" t="s">
        <v>1430</v>
      </c>
    </row>
    <row r="10" spans="1:8" x14ac:dyDescent="0.25">
      <c r="A10" s="18" t="s">
        <v>6</v>
      </c>
      <c r="B10" s="19" t="s">
        <v>5</v>
      </c>
      <c r="C10" s="18"/>
      <c r="D10" s="18" t="s">
        <v>7</v>
      </c>
      <c r="E10" s="18" t="s">
        <v>1391</v>
      </c>
      <c r="F10" s="18" t="s">
        <v>1439</v>
      </c>
      <c r="G10" s="18" t="s">
        <v>30</v>
      </c>
      <c r="H10" s="18" t="s">
        <v>1431</v>
      </c>
    </row>
    <row r="11" spans="1:8" x14ac:dyDescent="0.25">
      <c r="A11" s="21" t="s">
        <v>9</v>
      </c>
      <c r="B11" s="22" t="s">
        <v>8</v>
      </c>
      <c r="C11" s="21"/>
      <c r="D11" s="23" t="s">
        <v>10</v>
      </c>
      <c r="E11" s="23" t="s">
        <v>1398</v>
      </c>
      <c r="F11" s="23" t="s">
        <v>1442</v>
      </c>
      <c r="G11" s="23" t="s">
        <v>1443</v>
      </c>
      <c r="H11" s="23" t="s">
        <v>1432</v>
      </c>
    </row>
    <row r="12" spans="1:8" x14ac:dyDescent="0.25">
      <c r="A12" s="36" t="s">
        <v>12</v>
      </c>
      <c r="B12" s="37" t="s">
        <v>11</v>
      </c>
      <c r="C12" s="36"/>
      <c r="D12" s="36" t="s">
        <v>13</v>
      </c>
      <c r="E12" s="36" t="s">
        <v>1393</v>
      </c>
      <c r="F12" s="36" t="s">
        <v>1440</v>
      </c>
      <c r="G12" s="36" t="s">
        <v>1424</v>
      </c>
      <c r="H12" s="36" t="s">
        <v>1432</v>
      </c>
    </row>
    <row r="13" spans="1:8" x14ac:dyDescent="0.25">
      <c r="A13" s="23" t="s">
        <v>15</v>
      </c>
      <c r="B13" s="22" t="s">
        <v>14</v>
      </c>
      <c r="C13" s="23"/>
      <c r="D13" s="23" t="s">
        <v>10</v>
      </c>
      <c r="E13" s="23" t="s">
        <v>1398</v>
      </c>
      <c r="F13" s="23" t="s">
        <v>1442</v>
      </c>
      <c r="G13" s="23" t="s">
        <v>1422</v>
      </c>
      <c r="H13" s="23" t="s">
        <v>1432</v>
      </c>
    </row>
    <row r="14" spans="1:8" x14ac:dyDescent="0.25">
      <c r="A14" s="32" t="s">
        <v>17</v>
      </c>
      <c r="B14" s="33" t="s">
        <v>16</v>
      </c>
      <c r="C14" s="32"/>
      <c r="D14" s="32" t="s">
        <v>18</v>
      </c>
      <c r="E14" s="32" t="s">
        <v>1384</v>
      </c>
      <c r="F14" s="32" t="s">
        <v>1436</v>
      </c>
      <c r="G14" s="32" t="s">
        <v>1445</v>
      </c>
      <c r="H14" s="32" t="s">
        <v>1430</v>
      </c>
    </row>
    <row r="15" spans="1:8" x14ac:dyDescent="0.25">
      <c r="A15" s="28" t="s">
        <v>20</v>
      </c>
      <c r="B15" s="29" t="s">
        <v>19</v>
      </c>
      <c r="C15" s="28" t="s">
        <v>21</v>
      </c>
      <c r="D15" s="28" t="s">
        <v>4</v>
      </c>
      <c r="E15" s="28" t="s">
        <v>1389</v>
      </c>
      <c r="F15" s="28" t="s">
        <v>1438</v>
      </c>
      <c r="G15" s="28" t="s">
        <v>1423</v>
      </c>
      <c r="H15" s="28" t="s">
        <v>1430</v>
      </c>
    </row>
    <row r="16" spans="1:8" x14ac:dyDescent="0.25">
      <c r="A16" s="21" t="s">
        <v>23</v>
      </c>
      <c r="B16" s="22" t="s">
        <v>22</v>
      </c>
      <c r="C16" s="21"/>
      <c r="D16" s="23" t="s">
        <v>10</v>
      </c>
      <c r="E16" s="23" t="s">
        <v>1398</v>
      </c>
      <c r="F16" s="23" t="s">
        <v>1442</v>
      </c>
      <c r="G16" s="23" t="s">
        <v>1422</v>
      </c>
      <c r="H16" s="23" t="s">
        <v>1432</v>
      </c>
    </row>
    <row r="17" spans="1:8" x14ac:dyDescent="0.25">
      <c r="A17" s="18" t="s">
        <v>25</v>
      </c>
      <c r="B17" s="19" t="s">
        <v>24</v>
      </c>
      <c r="C17" s="18"/>
      <c r="D17" s="18" t="s">
        <v>26</v>
      </c>
      <c r="E17" s="18" t="s">
        <v>1390</v>
      </c>
      <c r="F17" s="18" t="s">
        <v>1444</v>
      </c>
      <c r="G17" s="18" t="s">
        <v>1429</v>
      </c>
      <c r="H17" s="18" t="s">
        <v>1431</v>
      </c>
    </row>
    <row r="18" spans="1:8" x14ac:dyDescent="0.25">
      <c r="A18" s="25" t="s">
        <v>28</v>
      </c>
      <c r="B18" s="26" t="s">
        <v>27</v>
      </c>
      <c r="C18" s="25"/>
      <c r="D18" s="25" t="s">
        <v>29</v>
      </c>
      <c r="E18" s="25" t="s">
        <v>1394</v>
      </c>
      <c r="F18" s="25" t="s">
        <v>1441</v>
      </c>
      <c r="G18" s="25" t="s">
        <v>30</v>
      </c>
      <c r="H18" s="25" t="s">
        <v>1432</v>
      </c>
    </row>
    <row r="19" spans="1:8" x14ac:dyDescent="0.25">
      <c r="A19" s="34" t="s">
        <v>32</v>
      </c>
      <c r="B19" s="33" t="s">
        <v>31</v>
      </c>
      <c r="C19" s="34" t="s">
        <v>33</v>
      </c>
      <c r="D19" s="32" t="s">
        <v>18</v>
      </c>
      <c r="E19" s="32" t="s">
        <v>1384</v>
      </c>
      <c r="F19" s="32" t="s">
        <v>1436</v>
      </c>
      <c r="G19" s="32" t="s">
        <v>1445</v>
      </c>
      <c r="H19" s="32" t="s">
        <v>1430</v>
      </c>
    </row>
    <row r="20" spans="1:8" x14ac:dyDescent="0.25">
      <c r="A20" s="36" t="s">
        <v>35</v>
      </c>
      <c r="B20" s="37" t="s">
        <v>34</v>
      </c>
      <c r="C20" s="36"/>
      <c r="D20" s="36" t="s">
        <v>36</v>
      </c>
      <c r="E20" s="36" t="s">
        <v>1395</v>
      </c>
      <c r="F20" s="25" t="s">
        <v>1441</v>
      </c>
      <c r="G20" s="25" t="s">
        <v>30</v>
      </c>
      <c r="H20" s="36" t="s">
        <v>1432</v>
      </c>
    </row>
    <row r="21" spans="1:8" x14ac:dyDescent="0.25">
      <c r="A21" s="23" t="s">
        <v>38</v>
      </c>
      <c r="B21" s="22" t="s">
        <v>37</v>
      </c>
      <c r="C21" s="23"/>
      <c r="D21" s="23" t="s">
        <v>10</v>
      </c>
      <c r="E21" s="23" t="s">
        <v>1398</v>
      </c>
      <c r="F21" s="23" t="s">
        <v>1442</v>
      </c>
      <c r="G21" s="23" t="s">
        <v>1422</v>
      </c>
      <c r="H21" s="23" t="s">
        <v>1432</v>
      </c>
    </row>
    <row r="22" spans="1:8" x14ac:dyDescent="0.25">
      <c r="A22" s="21" t="s">
        <v>40</v>
      </c>
      <c r="B22" s="22" t="s">
        <v>39</v>
      </c>
      <c r="C22" s="21"/>
      <c r="D22" s="23" t="s">
        <v>10</v>
      </c>
      <c r="E22" s="23" t="s">
        <v>1398</v>
      </c>
      <c r="F22" s="23" t="s">
        <v>1442</v>
      </c>
      <c r="G22" s="23" t="s">
        <v>1422</v>
      </c>
      <c r="H22" s="23" t="s">
        <v>1432</v>
      </c>
    </row>
    <row r="23" spans="1:8" x14ac:dyDescent="0.25">
      <c r="A23" s="21" t="s">
        <v>42</v>
      </c>
      <c r="B23" s="22" t="s">
        <v>41</v>
      </c>
      <c r="C23" s="21"/>
      <c r="D23" s="23" t="s">
        <v>10</v>
      </c>
      <c r="E23" s="23" t="s">
        <v>1398</v>
      </c>
      <c r="F23" s="23" t="s">
        <v>1442</v>
      </c>
      <c r="G23" s="23" t="s">
        <v>1422</v>
      </c>
      <c r="H23" s="23" t="s">
        <v>1432</v>
      </c>
    </row>
    <row r="24" spans="1:8" x14ac:dyDescent="0.25">
      <c r="A24" s="36" t="s">
        <v>1290</v>
      </c>
      <c r="B24" s="37" t="s">
        <v>43</v>
      </c>
      <c r="C24" s="36"/>
      <c r="D24" s="36" t="s">
        <v>13</v>
      </c>
      <c r="E24" s="36" t="s">
        <v>1393</v>
      </c>
      <c r="F24" s="36" t="s">
        <v>1440</v>
      </c>
      <c r="G24" s="36" t="s">
        <v>1424</v>
      </c>
      <c r="H24" s="36" t="s">
        <v>1432</v>
      </c>
    </row>
    <row r="25" spans="1:8" x14ac:dyDescent="0.25">
      <c r="A25" s="25" t="s">
        <v>45</v>
      </c>
      <c r="B25" s="26" t="s">
        <v>44</v>
      </c>
      <c r="C25" s="25"/>
      <c r="D25" s="25" t="s">
        <v>7</v>
      </c>
      <c r="E25" s="25" t="s">
        <v>1391</v>
      </c>
      <c r="F25" s="18" t="s">
        <v>1439</v>
      </c>
      <c r="G25" s="18" t="s">
        <v>30</v>
      </c>
      <c r="H25" s="25" t="s">
        <v>1431</v>
      </c>
    </row>
    <row r="26" spans="1:8" x14ac:dyDescent="0.25">
      <c r="A26" s="32" t="s">
        <v>47</v>
      </c>
      <c r="B26" s="33" t="s">
        <v>46</v>
      </c>
      <c r="C26" s="32"/>
      <c r="D26" s="32" t="s">
        <v>48</v>
      </c>
      <c r="E26" s="32" t="s">
        <v>1387</v>
      </c>
      <c r="F26" s="32" t="s">
        <v>1437</v>
      </c>
      <c r="G26" s="32" t="s">
        <v>1422</v>
      </c>
      <c r="H26" s="32" t="s">
        <v>1430</v>
      </c>
    </row>
    <row r="27" spans="1:8" x14ac:dyDescent="0.25">
      <c r="A27" s="18" t="s">
        <v>50</v>
      </c>
      <c r="B27" s="19" t="s">
        <v>49</v>
      </c>
      <c r="C27" s="18"/>
      <c r="D27" s="18" t="s">
        <v>26</v>
      </c>
      <c r="E27" s="18" t="s">
        <v>1390</v>
      </c>
      <c r="F27" s="18" t="s">
        <v>1444</v>
      </c>
      <c r="G27" s="18" t="s">
        <v>1429</v>
      </c>
      <c r="H27" s="18" t="s">
        <v>1431</v>
      </c>
    </row>
    <row r="28" spans="1:8" x14ac:dyDescent="0.25">
      <c r="A28" s="25" t="s">
        <v>52</v>
      </c>
      <c r="B28" s="26" t="s">
        <v>51</v>
      </c>
      <c r="C28" s="25"/>
      <c r="D28" s="25" t="s">
        <v>7</v>
      </c>
      <c r="E28" s="25" t="s">
        <v>1391</v>
      </c>
      <c r="F28" s="18" t="s">
        <v>1439</v>
      </c>
      <c r="G28" s="18" t="s">
        <v>30</v>
      </c>
      <c r="H28" s="25" t="s">
        <v>1431</v>
      </c>
    </row>
    <row r="29" spans="1:8" x14ac:dyDescent="0.25">
      <c r="A29" s="25" t="s">
        <v>54</v>
      </c>
      <c r="B29" s="26" t="s">
        <v>53</v>
      </c>
      <c r="C29" s="25"/>
      <c r="D29" s="25" t="s">
        <v>55</v>
      </c>
      <c r="E29" s="25" t="s">
        <v>1388</v>
      </c>
      <c r="F29" s="32" t="s">
        <v>1437</v>
      </c>
      <c r="G29" s="25" t="s">
        <v>1423</v>
      </c>
      <c r="H29" s="25" t="s">
        <v>1430</v>
      </c>
    </row>
    <row r="30" spans="1:8" x14ac:dyDescent="0.25">
      <c r="A30" s="23" t="s">
        <v>57</v>
      </c>
      <c r="B30" s="22" t="s">
        <v>56</v>
      </c>
      <c r="C30" s="23" t="s">
        <v>58</v>
      </c>
      <c r="D30" s="23" t="s">
        <v>10</v>
      </c>
      <c r="E30" s="23" t="s">
        <v>1398</v>
      </c>
      <c r="F30" s="23" t="s">
        <v>1442</v>
      </c>
      <c r="G30" s="23" t="s">
        <v>1443</v>
      </c>
      <c r="H30" s="23" t="s">
        <v>1432</v>
      </c>
    </row>
    <row r="31" spans="1:8" x14ac:dyDescent="0.25">
      <c r="A31" s="18" t="s">
        <v>60</v>
      </c>
      <c r="B31" s="19" t="s">
        <v>59</v>
      </c>
      <c r="C31" s="18"/>
      <c r="D31" s="18" t="s">
        <v>61</v>
      </c>
      <c r="E31" s="18" t="s">
        <v>1396</v>
      </c>
      <c r="F31" s="18" t="s">
        <v>1444</v>
      </c>
      <c r="G31" s="18" t="s">
        <v>1429</v>
      </c>
      <c r="H31" s="18" t="s">
        <v>1431</v>
      </c>
    </row>
    <row r="32" spans="1:8" x14ac:dyDescent="0.25">
      <c r="A32" s="18" t="s">
        <v>1357</v>
      </c>
      <c r="B32" s="19" t="s">
        <v>914</v>
      </c>
      <c r="C32" s="18" t="s">
        <v>242</v>
      </c>
      <c r="D32" s="18" t="s">
        <v>26</v>
      </c>
      <c r="E32" s="18" t="s">
        <v>1390</v>
      </c>
      <c r="F32" s="18" t="s">
        <v>1444</v>
      </c>
      <c r="G32" s="18" t="s">
        <v>1429</v>
      </c>
      <c r="H32" s="18" t="s">
        <v>1431</v>
      </c>
    </row>
    <row r="33" spans="1:8" x14ac:dyDescent="0.25">
      <c r="A33" s="23" t="s">
        <v>63</v>
      </c>
      <c r="B33" s="22" t="s">
        <v>62</v>
      </c>
      <c r="C33" s="23"/>
      <c r="D33" s="23" t="s">
        <v>10</v>
      </c>
      <c r="E33" s="23" t="s">
        <v>1398</v>
      </c>
      <c r="F33" s="23" t="s">
        <v>1442</v>
      </c>
      <c r="G33" s="23" t="s">
        <v>1422</v>
      </c>
      <c r="H33" s="23" t="s">
        <v>1432</v>
      </c>
    </row>
    <row r="34" spans="1:8" x14ac:dyDescent="0.25">
      <c r="A34" s="25" t="s">
        <v>65</v>
      </c>
      <c r="B34" s="26" t="s">
        <v>64</v>
      </c>
      <c r="C34" s="25"/>
      <c r="D34" s="25" t="s">
        <v>29</v>
      </c>
      <c r="E34" s="25" t="s">
        <v>1394</v>
      </c>
      <c r="F34" s="25" t="s">
        <v>1441</v>
      </c>
      <c r="G34" s="25" t="s">
        <v>30</v>
      </c>
      <c r="H34" s="25" t="s">
        <v>1432</v>
      </c>
    </row>
    <row r="35" spans="1:8" x14ac:dyDescent="0.25">
      <c r="A35" s="25" t="s">
        <v>1291</v>
      </c>
      <c r="B35" s="26" t="s">
        <v>66</v>
      </c>
      <c r="C35" s="25"/>
      <c r="D35" s="25" t="s">
        <v>7</v>
      </c>
      <c r="E35" s="25" t="s">
        <v>1391</v>
      </c>
      <c r="F35" s="18" t="s">
        <v>1439</v>
      </c>
      <c r="G35" s="36" t="s">
        <v>1429</v>
      </c>
      <c r="H35" s="25" t="s">
        <v>1431</v>
      </c>
    </row>
    <row r="36" spans="1:8" x14ac:dyDescent="0.25">
      <c r="A36" s="32" t="s">
        <v>68</v>
      </c>
      <c r="B36" s="33" t="s">
        <v>67</v>
      </c>
      <c r="C36" s="32"/>
      <c r="D36" s="32" t="s">
        <v>48</v>
      </c>
      <c r="E36" s="32" t="s">
        <v>1387</v>
      </c>
      <c r="F36" s="32" t="s">
        <v>1437</v>
      </c>
      <c r="G36" s="32" t="s">
        <v>1422</v>
      </c>
      <c r="H36" s="32" t="s">
        <v>1430</v>
      </c>
    </row>
    <row r="37" spans="1:8" x14ac:dyDescent="0.25">
      <c r="A37" s="15" t="s">
        <v>70</v>
      </c>
      <c r="B37" s="16" t="s">
        <v>69</v>
      </c>
      <c r="C37" s="15"/>
      <c r="D37" s="15" t="s">
        <v>7</v>
      </c>
      <c r="E37" s="15" t="s">
        <v>1391</v>
      </c>
      <c r="F37" s="18" t="s">
        <v>1439</v>
      </c>
      <c r="G37" s="18" t="s">
        <v>30</v>
      </c>
      <c r="H37" s="15" t="s">
        <v>1431</v>
      </c>
    </row>
    <row r="38" spans="1:8" x14ac:dyDescent="0.25">
      <c r="A38" s="18" t="s">
        <v>72</v>
      </c>
      <c r="B38" s="19" t="s">
        <v>71</v>
      </c>
      <c r="C38" s="18" t="s">
        <v>73</v>
      </c>
      <c r="D38" s="18" t="s">
        <v>26</v>
      </c>
      <c r="E38" s="18" t="s">
        <v>1390</v>
      </c>
      <c r="F38" s="18" t="s">
        <v>1444</v>
      </c>
      <c r="G38" s="18" t="s">
        <v>1429</v>
      </c>
      <c r="H38" s="18" t="s">
        <v>1431</v>
      </c>
    </row>
    <row r="39" spans="1:8" x14ac:dyDescent="0.25">
      <c r="A39" s="32" t="s">
        <v>75</v>
      </c>
      <c r="B39" s="33" t="s">
        <v>74</v>
      </c>
      <c r="C39" s="32"/>
      <c r="D39" s="18" t="s">
        <v>76</v>
      </c>
      <c r="E39" s="32" t="s">
        <v>1397</v>
      </c>
      <c r="F39" s="32" t="s">
        <v>1436</v>
      </c>
      <c r="G39" s="32" t="s">
        <v>1445</v>
      </c>
      <c r="H39" s="18" t="s">
        <v>1431</v>
      </c>
    </row>
    <row r="40" spans="1:8" x14ac:dyDescent="0.25">
      <c r="A40" s="38" t="s">
        <v>78</v>
      </c>
      <c r="B40" s="37" t="s">
        <v>77</v>
      </c>
      <c r="C40" s="38"/>
      <c r="D40" s="36" t="s">
        <v>36</v>
      </c>
      <c r="E40" s="36" t="s">
        <v>1395</v>
      </c>
      <c r="F40" s="25" t="s">
        <v>1441</v>
      </c>
      <c r="G40" s="25" t="s">
        <v>30</v>
      </c>
      <c r="H40" s="36" t="s">
        <v>1432</v>
      </c>
    </row>
    <row r="41" spans="1:8" x14ac:dyDescent="0.25">
      <c r="A41" s="25" t="s">
        <v>80</v>
      </c>
      <c r="B41" s="26" t="s">
        <v>79</v>
      </c>
      <c r="C41" s="25"/>
      <c r="D41" s="25" t="s">
        <v>55</v>
      </c>
      <c r="E41" s="25" t="s">
        <v>1388</v>
      </c>
      <c r="F41" s="32" t="s">
        <v>1437</v>
      </c>
      <c r="G41" s="25" t="s">
        <v>1423</v>
      </c>
      <c r="H41" s="25" t="s">
        <v>1430</v>
      </c>
    </row>
    <row r="42" spans="1:8" x14ac:dyDescent="0.25">
      <c r="A42" s="18" t="s">
        <v>82</v>
      </c>
      <c r="B42" s="19" t="s">
        <v>81</v>
      </c>
      <c r="C42" s="18"/>
      <c r="D42" s="18" t="s">
        <v>26</v>
      </c>
      <c r="E42" s="18" t="s">
        <v>1390</v>
      </c>
      <c r="F42" s="18" t="s">
        <v>1444</v>
      </c>
      <c r="G42" s="18" t="s">
        <v>1429</v>
      </c>
      <c r="H42" s="18" t="s">
        <v>1431</v>
      </c>
    </row>
    <row r="43" spans="1:8" x14ac:dyDescent="0.25">
      <c r="A43" s="28" t="s">
        <v>84</v>
      </c>
      <c r="B43" s="29" t="s">
        <v>83</v>
      </c>
      <c r="C43" s="28"/>
      <c r="D43" s="28" t="s">
        <v>4</v>
      </c>
      <c r="E43" s="28" t="s">
        <v>1389</v>
      </c>
      <c r="F43" s="28" t="s">
        <v>1438</v>
      </c>
      <c r="G43" s="28" t="s">
        <v>1423</v>
      </c>
      <c r="H43" s="28" t="s">
        <v>1430</v>
      </c>
    </row>
    <row r="44" spans="1:8" x14ac:dyDescent="0.25">
      <c r="A44" s="18" t="s">
        <v>1292</v>
      </c>
      <c r="B44" s="19" t="s">
        <v>85</v>
      </c>
      <c r="C44" s="18"/>
      <c r="D44" s="18" t="s">
        <v>26</v>
      </c>
      <c r="E44" s="18" t="s">
        <v>1390</v>
      </c>
      <c r="F44" s="18" t="s">
        <v>1444</v>
      </c>
      <c r="G44" s="18" t="s">
        <v>1429</v>
      </c>
      <c r="H44" s="18" t="s">
        <v>1431</v>
      </c>
    </row>
    <row r="45" spans="1:8" x14ac:dyDescent="0.25">
      <c r="A45" s="32" t="s">
        <v>87</v>
      </c>
      <c r="B45" s="33" t="s">
        <v>86</v>
      </c>
      <c r="C45" s="32"/>
      <c r="D45" s="32" t="s">
        <v>18</v>
      </c>
      <c r="E45" s="32" t="s">
        <v>1384</v>
      </c>
      <c r="F45" s="32" t="s">
        <v>1436</v>
      </c>
      <c r="G45" s="32" t="s">
        <v>1445</v>
      </c>
      <c r="H45" s="32" t="s">
        <v>1430</v>
      </c>
    </row>
    <row r="46" spans="1:8" x14ac:dyDescent="0.25">
      <c r="A46" s="28" t="s">
        <v>89</v>
      </c>
      <c r="B46" s="29" t="s">
        <v>88</v>
      </c>
      <c r="C46" s="28"/>
      <c r="D46" s="28" t="s">
        <v>4</v>
      </c>
      <c r="E46" s="28" t="s">
        <v>1389</v>
      </c>
      <c r="F46" s="28" t="s">
        <v>1438</v>
      </c>
      <c r="G46" s="28" t="s">
        <v>1423</v>
      </c>
      <c r="H46" s="28" t="s">
        <v>1430</v>
      </c>
    </row>
    <row r="47" spans="1:8" x14ac:dyDescent="0.25">
      <c r="A47" s="28" t="s">
        <v>1293</v>
      </c>
      <c r="B47" s="29" t="s">
        <v>90</v>
      </c>
      <c r="C47" s="28" t="s">
        <v>21</v>
      </c>
      <c r="D47" s="28" t="s">
        <v>4</v>
      </c>
      <c r="E47" s="28" t="s">
        <v>1389</v>
      </c>
      <c r="F47" s="28" t="s">
        <v>1438</v>
      </c>
      <c r="G47" s="28" t="s">
        <v>1423</v>
      </c>
      <c r="H47" s="28" t="s">
        <v>1430</v>
      </c>
    </row>
    <row r="48" spans="1:8" x14ac:dyDescent="0.25">
      <c r="A48" s="25" t="s">
        <v>92</v>
      </c>
      <c r="B48" s="26" t="s">
        <v>91</v>
      </c>
      <c r="C48" s="25"/>
      <c r="D48" s="25" t="s">
        <v>55</v>
      </c>
      <c r="E48" s="25" t="s">
        <v>1388</v>
      </c>
      <c r="F48" s="32" t="s">
        <v>1437</v>
      </c>
      <c r="G48" s="25" t="s">
        <v>1423</v>
      </c>
      <c r="H48" s="25" t="s">
        <v>1430</v>
      </c>
    </row>
    <row r="49" spans="1:8" x14ac:dyDescent="0.25">
      <c r="A49" s="18" t="s">
        <v>1294</v>
      </c>
      <c r="B49" s="19" t="s">
        <v>93</v>
      </c>
      <c r="C49" s="18"/>
      <c r="D49" s="18" t="s">
        <v>26</v>
      </c>
      <c r="E49" s="18" t="s">
        <v>1390</v>
      </c>
      <c r="F49" s="18" t="s">
        <v>1444</v>
      </c>
      <c r="G49" s="18" t="s">
        <v>1429</v>
      </c>
      <c r="H49" s="18" t="s">
        <v>1431</v>
      </c>
    </row>
    <row r="50" spans="1:8" x14ac:dyDescent="0.25">
      <c r="A50" s="18" t="s">
        <v>1295</v>
      </c>
      <c r="B50" s="19" t="s">
        <v>94</v>
      </c>
      <c r="C50" s="18"/>
      <c r="D50" s="18" t="s">
        <v>7</v>
      </c>
      <c r="E50" s="18" t="s">
        <v>1391</v>
      </c>
      <c r="F50" s="18" t="s">
        <v>1439</v>
      </c>
      <c r="G50" s="36" t="s">
        <v>1429</v>
      </c>
      <c r="H50" s="18" t="s">
        <v>1431</v>
      </c>
    </row>
    <row r="51" spans="1:8" x14ac:dyDescent="0.25">
      <c r="A51" s="25" t="s">
        <v>96</v>
      </c>
      <c r="B51" s="26" t="s">
        <v>95</v>
      </c>
      <c r="C51" s="25"/>
      <c r="D51" s="25" t="s">
        <v>29</v>
      </c>
      <c r="E51" s="25" t="s">
        <v>1394</v>
      </c>
      <c r="F51" s="25" t="s">
        <v>1441</v>
      </c>
      <c r="G51" s="25" t="s">
        <v>30</v>
      </c>
      <c r="H51" s="25" t="s">
        <v>1432</v>
      </c>
    </row>
    <row r="52" spans="1:8" x14ac:dyDescent="0.25">
      <c r="A52" s="25" t="s">
        <v>98</v>
      </c>
      <c r="B52" s="26" t="s">
        <v>97</v>
      </c>
      <c r="C52" s="25"/>
      <c r="D52" s="25" t="s">
        <v>55</v>
      </c>
      <c r="E52" s="25" t="s">
        <v>1388</v>
      </c>
      <c r="F52" s="32" t="s">
        <v>1437</v>
      </c>
      <c r="G52" s="25" t="s">
        <v>1423</v>
      </c>
      <c r="H52" s="25" t="s">
        <v>1430</v>
      </c>
    </row>
    <row r="53" spans="1:8" x14ac:dyDescent="0.25">
      <c r="A53" s="18" t="s">
        <v>100</v>
      </c>
      <c r="B53" s="19" t="s">
        <v>99</v>
      </c>
      <c r="C53" s="18"/>
      <c r="D53" s="18" t="s">
        <v>61</v>
      </c>
      <c r="E53" s="18" t="s">
        <v>1396</v>
      </c>
      <c r="F53" s="18" t="s">
        <v>1444</v>
      </c>
      <c r="G53" s="18" t="s">
        <v>1429</v>
      </c>
      <c r="H53" s="18" t="s">
        <v>1431</v>
      </c>
    </row>
    <row r="54" spans="1:8" x14ac:dyDescent="0.25">
      <c r="A54" s="36" t="s">
        <v>102</v>
      </c>
      <c r="B54" s="37" t="s">
        <v>101</v>
      </c>
      <c r="C54" s="36"/>
      <c r="D54" s="36" t="s">
        <v>36</v>
      </c>
      <c r="E54" s="36" t="s">
        <v>1395</v>
      </c>
      <c r="F54" s="25" t="s">
        <v>1441</v>
      </c>
      <c r="G54" s="25" t="s">
        <v>30</v>
      </c>
      <c r="H54" s="36" t="s">
        <v>1432</v>
      </c>
    </row>
    <row r="55" spans="1:8" x14ac:dyDescent="0.25">
      <c r="A55" s="28" t="s">
        <v>104</v>
      </c>
      <c r="B55" s="29" t="s">
        <v>103</v>
      </c>
      <c r="C55" s="28" t="s">
        <v>21</v>
      </c>
      <c r="D55" s="28" t="s">
        <v>4</v>
      </c>
      <c r="E55" s="28" t="s">
        <v>1389</v>
      </c>
      <c r="F55" s="28" t="s">
        <v>1438</v>
      </c>
      <c r="G55" s="28" t="s">
        <v>1423</v>
      </c>
      <c r="H55" s="28" t="s">
        <v>1430</v>
      </c>
    </row>
    <row r="56" spans="1:8" x14ac:dyDescent="0.25">
      <c r="A56" s="28" t="s">
        <v>106</v>
      </c>
      <c r="B56" s="29" t="s">
        <v>105</v>
      </c>
      <c r="C56" s="28"/>
      <c r="D56" s="28" t="s">
        <v>4</v>
      </c>
      <c r="E56" s="28" t="s">
        <v>1389</v>
      </c>
      <c r="F56" s="28" t="s">
        <v>1438</v>
      </c>
      <c r="G56" s="28" t="s">
        <v>1423</v>
      </c>
      <c r="H56" s="28" t="s">
        <v>1430</v>
      </c>
    </row>
    <row r="57" spans="1:8" x14ac:dyDescent="0.25">
      <c r="A57" s="28" t="s">
        <v>108</v>
      </c>
      <c r="B57" s="29" t="s">
        <v>107</v>
      </c>
      <c r="C57" s="28"/>
      <c r="D57" s="28" t="s">
        <v>4</v>
      </c>
      <c r="E57" s="28" t="s">
        <v>1389</v>
      </c>
      <c r="F57" s="28" t="s">
        <v>1438</v>
      </c>
      <c r="G57" s="28" t="s">
        <v>1423</v>
      </c>
      <c r="H57" s="28" t="s">
        <v>1430</v>
      </c>
    </row>
    <row r="58" spans="1:8" x14ac:dyDescent="0.25">
      <c r="A58" s="28" t="s">
        <v>1296</v>
      </c>
      <c r="B58" s="29" t="s">
        <v>109</v>
      </c>
      <c r="C58" s="28"/>
      <c r="D58" s="28" t="s">
        <v>4</v>
      </c>
      <c r="E58" s="28" t="s">
        <v>1389</v>
      </c>
      <c r="F58" s="28" t="s">
        <v>1438</v>
      </c>
      <c r="G58" s="28" t="s">
        <v>1423</v>
      </c>
      <c r="H58" s="28" t="s">
        <v>1430</v>
      </c>
    </row>
    <row r="59" spans="1:8" x14ac:dyDescent="0.25">
      <c r="A59" s="35" t="s">
        <v>1297</v>
      </c>
      <c r="B59" s="33" t="s">
        <v>110</v>
      </c>
      <c r="C59" s="35"/>
      <c r="D59" s="32" t="s">
        <v>10</v>
      </c>
      <c r="E59" s="32" t="s">
        <v>1398</v>
      </c>
      <c r="F59" s="23" t="s">
        <v>1442</v>
      </c>
      <c r="G59" s="23" t="s">
        <v>1422</v>
      </c>
      <c r="H59" s="32" t="s">
        <v>1430</v>
      </c>
    </row>
    <row r="60" spans="1:8" x14ac:dyDescent="0.25">
      <c r="A60" s="18" t="s">
        <v>112</v>
      </c>
      <c r="B60" s="19" t="s">
        <v>111</v>
      </c>
      <c r="C60" s="18"/>
      <c r="D60" s="18" t="s">
        <v>26</v>
      </c>
      <c r="E60" s="18" t="s">
        <v>1390</v>
      </c>
      <c r="F60" s="18" t="s">
        <v>1444</v>
      </c>
      <c r="G60" s="18" t="s">
        <v>1429</v>
      </c>
      <c r="H60" s="18" t="s">
        <v>1431</v>
      </c>
    </row>
    <row r="61" spans="1:8" x14ac:dyDescent="0.25">
      <c r="A61" s="32" t="s">
        <v>114</v>
      </c>
      <c r="B61" s="33" t="s">
        <v>113</v>
      </c>
      <c r="C61" s="32"/>
      <c r="D61" s="18" t="s">
        <v>76</v>
      </c>
      <c r="E61" s="32" t="s">
        <v>1397</v>
      </c>
      <c r="F61" s="32" t="s">
        <v>1436</v>
      </c>
      <c r="G61" s="32" t="s">
        <v>1445</v>
      </c>
      <c r="H61" s="18" t="s">
        <v>1431</v>
      </c>
    </row>
    <row r="62" spans="1:8" x14ac:dyDescent="0.25">
      <c r="A62" s="28" t="s">
        <v>116</v>
      </c>
      <c r="B62" s="29" t="s">
        <v>115</v>
      </c>
      <c r="C62" s="28"/>
      <c r="D62" s="28" t="s">
        <v>4</v>
      </c>
      <c r="E62" s="28" t="s">
        <v>1389</v>
      </c>
      <c r="F62" s="28" t="s">
        <v>1438</v>
      </c>
      <c r="G62" s="28" t="s">
        <v>1423</v>
      </c>
      <c r="H62" s="28" t="s">
        <v>1430</v>
      </c>
    </row>
    <row r="63" spans="1:8" x14ac:dyDescent="0.25">
      <c r="A63" s="32" t="s">
        <v>118</v>
      </c>
      <c r="B63" s="33" t="s">
        <v>117</v>
      </c>
      <c r="C63" s="32"/>
      <c r="D63" s="18" t="s">
        <v>76</v>
      </c>
      <c r="E63" s="32" t="s">
        <v>1397</v>
      </c>
      <c r="F63" s="32" t="s">
        <v>1436</v>
      </c>
      <c r="G63" s="32" t="s">
        <v>1445</v>
      </c>
      <c r="H63" s="18" t="s">
        <v>1431</v>
      </c>
    </row>
    <row r="64" spans="1:8" x14ac:dyDescent="0.25">
      <c r="A64" s="23" t="s">
        <v>120</v>
      </c>
      <c r="B64" s="22" t="s">
        <v>119</v>
      </c>
      <c r="C64" s="23" t="s">
        <v>121</v>
      </c>
      <c r="D64" s="23" t="s">
        <v>10</v>
      </c>
      <c r="E64" s="23" t="s">
        <v>1398</v>
      </c>
      <c r="F64" s="23" t="s">
        <v>1442</v>
      </c>
      <c r="G64" s="23" t="s">
        <v>1422</v>
      </c>
      <c r="H64" s="23" t="s">
        <v>1432</v>
      </c>
    </row>
    <row r="65" spans="1:8" x14ac:dyDescent="0.25">
      <c r="A65" s="25" t="s">
        <v>123</v>
      </c>
      <c r="B65" s="26" t="s">
        <v>122</v>
      </c>
      <c r="C65" s="25"/>
      <c r="D65" s="25" t="s">
        <v>29</v>
      </c>
      <c r="E65" s="25" t="s">
        <v>1394</v>
      </c>
      <c r="F65" s="25" t="s">
        <v>1441</v>
      </c>
      <c r="G65" s="25" t="s">
        <v>30</v>
      </c>
      <c r="H65" s="25" t="s">
        <v>1432</v>
      </c>
    </row>
    <row r="66" spans="1:8" x14ac:dyDescent="0.25">
      <c r="A66" s="36" t="s">
        <v>125</v>
      </c>
      <c r="B66" s="37" t="s">
        <v>124</v>
      </c>
      <c r="C66" s="36" t="s">
        <v>126</v>
      </c>
      <c r="D66" s="36" t="s">
        <v>13</v>
      </c>
      <c r="E66" s="36" t="s">
        <v>1393</v>
      </c>
      <c r="F66" s="36" t="s">
        <v>1440</v>
      </c>
      <c r="G66" s="36" t="s">
        <v>1424</v>
      </c>
      <c r="H66" s="36" t="s">
        <v>1432</v>
      </c>
    </row>
    <row r="67" spans="1:8" x14ac:dyDescent="0.25">
      <c r="A67" s="28" t="s">
        <v>128</v>
      </c>
      <c r="B67" s="29" t="s">
        <v>127</v>
      </c>
      <c r="C67" s="28"/>
      <c r="D67" s="28" t="s">
        <v>4</v>
      </c>
      <c r="E67" s="28" t="s">
        <v>1389</v>
      </c>
      <c r="F67" s="28" t="s">
        <v>1438</v>
      </c>
      <c r="G67" s="28" t="s">
        <v>1423</v>
      </c>
      <c r="H67" s="28" t="s">
        <v>1430</v>
      </c>
    </row>
    <row r="68" spans="1:8" x14ac:dyDescent="0.25">
      <c r="A68" s="32" t="s">
        <v>130</v>
      </c>
      <c r="B68" s="33" t="s">
        <v>129</v>
      </c>
      <c r="C68" s="32" t="s">
        <v>131</v>
      </c>
      <c r="D68" s="32" t="s">
        <v>18</v>
      </c>
      <c r="E68" s="32" t="s">
        <v>1384</v>
      </c>
      <c r="F68" s="32" t="s">
        <v>1436</v>
      </c>
      <c r="G68" s="32" t="s">
        <v>1445</v>
      </c>
      <c r="H68" s="32" t="s">
        <v>1430</v>
      </c>
    </row>
    <row r="69" spans="1:8" x14ac:dyDescent="0.25">
      <c r="A69" s="28" t="s">
        <v>133</v>
      </c>
      <c r="B69" s="29" t="s">
        <v>132</v>
      </c>
      <c r="C69" s="28"/>
      <c r="D69" s="28" t="s">
        <v>4</v>
      </c>
      <c r="E69" s="28" t="s">
        <v>1389</v>
      </c>
      <c r="F69" s="28" t="s">
        <v>1438</v>
      </c>
      <c r="G69" s="28" t="s">
        <v>1423</v>
      </c>
      <c r="H69" s="28" t="s">
        <v>1430</v>
      </c>
    </row>
    <row r="70" spans="1:8" x14ac:dyDescent="0.25">
      <c r="A70" s="28" t="s">
        <v>135</v>
      </c>
      <c r="B70" s="29" t="s">
        <v>134</v>
      </c>
      <c r="C70" s="28"/>
      <c r="D70" s="28" t="s">
        <v>136</v>
      </c>
      <c r="E70" s="28" t="s">
        <v>1386</v>
      </c>
      <c r="F70" s="32" t="s">
        <v>1437</v>
      </c>
      <c r="G70" s="32" t="s">
        <v>1422</v>
      </c>
      <c r="H70" s="28" t="s">
        <v>1430</v>
      </c>
    </row>
    <row r="71" spans="1:8" x14ac:dyDescent="0.25">
      <c r="A71" s="28" t="s">
        <v>138</v>
      </c>
      <c r="B71" s="29" t="s">
        <v>137</v>
      </c>
      <c r="C71" s="28"/>
      <c r="D71" s="28" t="s">
        <v>136</v>
      </c>
      <c r="E71" s="28" t="s">
        <v>1386</v>
      </c>
      <c r="F71" s="32" t="s">
        <v>1437</v>
      </c>
      <c r="G71" s="32" t="s">
        <v>1422</v>
      </c>
      <c r="H71" s="28" t="s">
        <v>1430</v>
      </c>
    </row>
    <row r="72" spans="1:8" x14ac:dyDescent="0.25">
      <c r="A72" s="36" t="s">
        <v>140</v>
      </c>
      <c r="B72" s="37" t="s">
        <v>139</v>
      </c>
      <c r="C72" s="36"/>
      <c r="D72" s="36" t="s">
        <v>29</v>
      </c>
      <c r="E72" s="36" t="s">
        <v>1394</v>
      </c>
      <c r="F72" s="25" t="s">
        <v>1441</v>
      </c>
      <c r="G72" s="25" t="s">
        <v>30</v>
      </c>
      <c r="H72" s="36" t="s">
        <v>1432</v>
      </c>
    </row>
    <row r="73" spans="1:8" x14ac:dyDescent="0.25">
      <c r="A73" s="25" t="s">
        <v>142</v>
      </c>
      <c r="B73" s="26" t="s">
        <v>141</v>
      </c>
      <c r="C73" s="25"/>
      <c r="D73" s="25" t="s">
        <v>29</v>
      </c>
      <c r="E73" s="25" t="s">
        <v>1394</v>
      </c>
      <c r="F73" s="25" t="s">
        <v>1441</v>
      </c>
      <c r="G73" s="25" t="s">
        <v>30</v>
      </c>
      <c r="H73" s="25" t="s">
        <v>1432</v>
      </c>
    </row>
    <row r="74" spans="1:8" x14ac:dyDescent="0.25">
      <c r="A74" s="18" t="s">
        <v>144</v>
      </c>
      <c r="B74" s="19" t="s">
        <v>143</v>
      </c>
      <c r="C74" s="18"/>
      <c r="D74" s="18" t="s">
        <v>26</v>
      </c>
      <c r="E74" s="18" t="s">
        <v>1390</v>
      </c>
      <c r="F74" s="18" t="s">
        <v>1444</v>
      </c>
      <c r="G74" s="18" t="s">
        <v>1429</v>
      </c>
      <c r="H74" s="18" t="s">
        <v>1431</v>
      </c>
    </row>
    <row r="75" spans="1:8" x14ac:dyDescent="0.25">
      <c r="A75" s="18" t="s">
        <v>146</v>
      </c>
      <c r="B75" s="19" t="s">
        <v>145</v>
      </c>
      <c r="C75" s="18"/>
      <c r="D75" s="18" t="s">
        <v>26</v>
      </c>
      <c r="E75" s="18" t="s">
        <v>1390</v>
      </c>
      <c r="F75" s="18" t="s">
        <v>1444</v>
      </c>
      <c r="G75" s="18" t="s">
        <v>1429</v>
      </c>
      <c r="H75" s="18" t="s">
        <v>1431</v>
      </c>
    </row>
    <row r="76" spans="1:8" x14ac:dyDescent="0.25">
      <c r="A76" s="36" t="s">
        <v>148</v>
      </c>
      <c r="B76" s="37" t="s">
        <v>147</v>
      </c>
      <c r="C76" s="36" t="s">
        <v>1404</v>
      </c>
      <c r="D76" s="36" t="s">
        <v>13</v>
      </c>
      <c r="E76" s="36" t="s">
        <v>1393</v>
      </c>
      <c r="F76" s="36" t="s">
        <v>1440</v>
      </c>
      <c r="G76" s="36" t="s">
        <v>1424</v>
      </c>
      <c r="H76" s="36" t="s">
        <v>1432</v>
      </c>
    </row>
    <row r="77" spans="1:8" x14ac:dyDescent="0.25">
      <c r="A77" s="25" t="s">
        <v>1298</v>
      </c>
      <c r="B77" s="26" t="s">
        <v>149</v>
      </c>
      <c r="C77" s="25"/>
      <c r="D77" s="25" t="s">
        <v>55</v>
      </c>
      <c r="E77" s="25" t="s">
        <v>1388</v>
      </c>
      <c r="F77" s="32" t="s">
        <v>1437</v>
      </c>
      <c r="G77" s="25" t="s">
        <v>1423</v>
      </c>
      <c r="H77" s="25" t="s">
        <v>1430</v>
      </c>
    </row>
    <row r="78" spans="1:8" x14ac:dyDescent="0.25">
      <c r="A78" s="36" t="s">
        <v>151</v>
      </c>
      <c r="B78" s="37" t="s">
        <v>150</v>
      </c>
      <c r="C78" s="36"/>
      <c r="D78" s="36" t="s">
        <v>13</v>
      </c>
      <c r="E78" s="36" t="s">
        <v>1393</v>
      </c>
      <c r="F78" s="36" t="s">
        <v>1440</v>
      </c>
      <c r="G78" s="36" t="s">
        <v>1424</v>
      </c>
      <c r="H78" s="36" t="s">
        <v>1432</v>
      </c>
    </row>
    <row r="79" spans="1:8" x14ac:dyDescent="0.25">
      <c r="A79" s="25" t="s">
        <v>153</v>
      </c>
      <c r="B79" s="26" t="s">
        <v>152</v>
      </c>
      <c r="C79" s="25"/>
      <c r="D79" s="25" t="s">
        <v>7</v>
      </c>
      <c r="E79" s="25" t="s">
        <v>1391</v>
      </c>
      <c r="F79" s="18" t="s">
        <v>1439</v>
      </c>
      <c r="G79" s="18" t="s">
        <v>30</v>
      </c>
      <c r="H79" s="25" t="s">
        <v>1431</v>
      </c>
    </row>
    <row r="80" spans="1:8" x14ac:dyDescent="0.25">
      <c r="A80" s="28" t="s">
        <v>155</v>
      </c>
      <c r="B80" s="29" t="s">
        <v>154</v>
      </c>
      <c r="C80" s="28"/>
      <c r="D80" s="28" t="s">
        <v>4</v>
      </c>
      <c r="E80" s="28" t="s">
        <v>1389</v>
      </c>
      <c r="F80" s="28" t="s">
        <v>1438</v>
      </c>
      <c r="G80" s="28" t="s">
        <v>1423</v>
      </c>
      <c r="H80" s="28" t="s">
        <v>1430</v>
      </c>
    </row>
    <row r="81" spans="1:8" x14ac:dyDescent="0.25">
      <c r="A81" s="18" t="s">
        <v>157</v>
      </c>
      <c r="B81" s="19" t="s">
        <v>156</v>
      </c>
      <c r="C81" s="18"/>
      <c r="D81" s="18" t="s">
        <v>26</v>
      </c>
      <c r="E81" s="18" t="s">
        <v>1390</v>
      </c>
      <c r="F81" s="18" t="s">
        <v>1444</v>
      </c>
      <c r="G81" s="18" t="s">
        <v>1429</v>
      </c>
      <c r="H81" s="18" t="s">
        <v>1431</v>
      </c>
    </row>
    <row r="82" spans="1:8" x14ac:dyDescent="0.25">
      <c r="A82" s="36" t="s">
        <v>159</v>
      </c>
      <c r="B82" s="37" t="s">
        <v>158</v>
      </c>
      <c r="C82" s="36"/>
      <c r="D82" s="36" t="s">
        <v>13</v>
      </c>
      <c r="E82" s="36" t="s">
        <v>1393</v>
      </c>
      <c r="F82" s="36" t="s">
        <v>1440</v>
      </c>
      <c r="G82" s="36" t="s">
        <v>1424</v>
      </c>
      <c r="H82" s="36" t="s">
        <v>1432</v>
      </c>
    </row>
    <row r="83" spans="1:8" x14ac:dyDescent="0.25">
      <c r="A83" s="32" t="s">
        <v>161</v>
      </c>
      <c r="B83" s="33" t="s">
        <v>160</v>
      </c>
      <c r="C83" s="32"/>
      <c r="D83" s="32" t="s">
        <v>18</v>
      </c>
      <c r="E83" s="32" t="s">
        <v>1384</v>
      </c>
      <c r="F83" s="32" t="s">
        <v>1436</v>
      </c>
      <c r="G83" s="32" t="s">
        <v>1445</v>
      </c>
      <c r="H83" s="32" t="s">
        <v>1430</v>
      </c>
    </row>
    <row r="84" spans="1:8" x14ac:dyDescent="0.25">
      <c r="A84" s="36" t="s">
        <v>1299</v>
      </c>
      <c r="B84" s="37" t="s">
        <v>162</v>
      </c>
      <c r="C84" s="36"/>
      <c r="D84" s="36" t="s">
        <v>13</v>
      </c>
      <c r="E84" s="36" t="s">
        <v>1393</v>
      </c>
      <c r="F84" s="36" t="s">
        <v>1440</v>
      </c>
      <c r="G84" s="36" t="s">
        <v>1424</v>
      </c>
      <c r="H84" s="36" t="s">
        <v>1432</v>
      </c>
    </row>
    <row r="85" spans="1:8" x14ac:dyDescent="0.25">
      <c r="A85" s="25" t="s">
        <v>164</v>
      </c>
      <c r="B85" s="26" t="s">
        <v>163</v>
      </c>
      <c r="C85" s="25"/>
      <c r="D85" s="25" t="s">
        <v>55</v>
      </c>
      <c r="E85" s="25" t="s">
        <v>1388</v>
      </c>
      <c r="F85" s="32" t="s">
        <v>1437</v>
      </c>
      <c r="G85" s="25" t="s">
        <v>1423</v>
      </c>
      <c r="H85" s="25" t="s">
        <v>1430</v>
      </c>
    </row>
    <row r="86" spans="1:8" x14ac:dyDescent="0.25">
      <c r="A86" s="25" t="s">
        <v>166</v>
      </c>
      <c r="B86" s="26" t="s">
        <v>165</v>
      </c>
      <c r="C86" s="25"/>
      <c r="D86" s="25" t="s">
        <v>7</v>
      </c>
      <c r="E86" s="25" t="s">
        <v>1391</v>
      </c>
      <c r="F86" s="18" t="s">
        <v>1439</v>
      </c>
      <c r="G86" s="18" t="s">
        <v>30</v>
      </c>
      <c r="H86" s="25" t="s">
        <v>1431</v>
      </c>
    </row>
    <row r="87" spans="1:8" x14ac:dyDescent="0.25">
      <c r="A87" s="18" t="s">
        <v>1300</v>
      </c>
      <c r="B87" s="19" t="s">
        <v>169</v>
      </c>
      <c r="C87" s="18"/>
      <c r="D87" s="18" t="s">
        <v>61</v>
      </c>
      <c r="E87" s="18" t="s">
        <v>1396</v>
      </c>
      <c r="F87" s="18" t="s">
        <v>1444</v>
      </c>
      <c r="G87" s="18" t="s">
        <v>1429</v>
      </c>
      <c r="H87" s="18" t="s">
        <v>1431</v>
      </c>
    </row>
    <row r="88" spans="1:8" x14ac:dyDescent="0.25">
      <c r="A88" s="32" t="s">
        <v>168</v>
      </c>
      <c r="B88" s="33" t="s">
        <v>167</v>
      </c>
      <c r="C88" s="32"/>
      <c r="D88" s="32" t="s">
        <v>48</v>
      </c>
      <c r="E88" s="32" t="s">
        <v>1387</v>
      </c>
      <c r="F88" s="32" t="s">
        <v>1437</v>
      </c>
      <c r="G88" s="32" t="s">
        <v>1422</v>
      </c>
      <c r="H88" s="32" t="s">
        <v>1430</v>
      </c>
    </row>
    <row r="89" spans="1:8" x14ac:dyDescent="0.25">
      <c r="A89" s="32" t="s">
        <v>171</v>
      </c>
      <c r="B89" s="33" t="s">
        <v>170</v>
      </c>
      <c r="C89" s="32" t="s">
        <v>172</v>
      </c>
      <c r="D89" s="32" t="s">
        <v>18</v>
      </c>
      <c r="E89" s="32" t="s">
        <v>1384</v>
      </c>
      <c r="F89" s="32" t="s">
        <v>1436</v>
      </c>
      <c r="G89" s="32" t="s">
        <v>1445</v>
      </c>
      <c r="H89" s="32" t="s">
        <v>1430</v>
      </c>
    </row>
    <row r="90" spans="1:8" x14ac:dyDescent="0.25">
      <c r="A90" s="32" t="s">
        <v>174</v>
      </c>
      <c r="B90" s="33" t="s">
        <v>173</v>
      </c>
      <c r="C90" s="32" t="s">
        <v>175</v>
      </c>
      <c r="D90" s="32" t="s">
        <v>18</v>
      </c>
      <c r="E90" s="32" t="s">
        <v>1384</v>
      </c>
      <c r="F90" s="32" t="s">
        <v>1436</v>
      </c>
      <c r="G90" s="32" t="s">
        <v>1445</v>
      </c>
      <c r="H90" s="32" t="s">
        <v>1430</v>
      </c>
    </row>
    <row r="91" spans="1:8" x14ac:dyDescent="0.25">
      <c r="A91" s="28" t="s">
        <v>177</v>
      </c>
      <c r="B91" s="29" t="s">
        <v>176</v>
      </c>
      <c r="C91" s="28" t="s">
        <v>21</v>
      </c>
      <c r="D91" s="28" t="s">
        <v>4</v>
      </c>
      <c r="E91" s="28" t="s">
        <v>1389</v>
      </c>
      <c r="F91" s="28" t="s">
        <v>1438</v>
      </c>
      <c r="G91" s="28" t="s">
        <v>1423</v>
      </c>
      <c r="H91" s="28" t="s">
        <v>1430</v>
      </c>
    </row>
    <row r="92" spans="1:8" x14ac:dyDescent="0.25">
      <c r="A92" s="32" t="s">
        <v>179</v>
      </c>
      <c r="B92" s="33" t="s">
        <v>178</v>
      </c>
      <c r="C92" s="32" t="s">
        <v>1411</v>
      </c>
      <c r="D92" s="32" t="s">
        <v>18</v>
      </c>
      <c r="E92" s="32" t="s">
        <v>1384</v>
      </c>
      <c r="F92" s="32" t="s">
        <v>1436</v>
      </c>
      <c r="G92" s="32" t="s">
        <v>1445</v>
      </c>
      <c r="H92" s="32" t="s">
        <v>1430</v>
      </c>
    </row>
    <row r="93" spans="1:8" x14ac:dyDescent="0.25">
      <c r="A93" s="32" t="s">
        <v>1301</v>
      </c>
      <c r="B93" s="33" t="s">
        <v>180</v>
      </c>
      <c r="C93" s="32" t="s">
        <v>181</v>
      </c>
      <c r="D93" s="32" t="s">
        <v>18</v>
      </c>
      <c r="E93" s="32" t="s">
        <v>1384</v>
      </c>
      <c r="F93" s="32" t="s">
        <v>1436</v>
      </c>
      <c r="G93" s="32" t="s">
        <v>1445</v>
      </c>
      <c r="H93" s="32" t="s">
        <v>1430</v>
      </c>
    </row>
    <row r="94" spans="1:8" x14ac:dyDescent="0.25">
      <c r="A94" s="32" t="s">
        <v>183</v>
      </c>
      <c r="B94" s="33" t="s">
        <v>182</v>
      </c>
      <c r="C94" s="32"/>
      <c r="D94" s="32" t="s">
        <v>18</v>
      </c>
      <c r="E94" s="32" t="s">
        <v>1384</v>
      </c>
      <c r="F94" s="32" t="s">
        <v>1436</v>
      </c>
      <c r="G94" s="32" t="s">
        <v>1445</v>
      </c>
      <c r="H94" s="32" t="s">
        <v>1430</v>
      </c>
    </row>
    <row r="95" spans="1:8" x14ac:dyDescent="0.25">
      <c r="A95" s="32" t="s">
        <v>185</v>
      </c>
      <c r="B95" s="33" t="s">
        <v>184</v>
      </c>
      <c r="C95" s="32" t="s">
        <v>131</v>
      </c>
      <c r="D95" s="32" t="s">
        <v>18</v>
      </c>
      <c r="E95" s="32" t="s">
        <v>1384</v>
      </c>
      <c r="F95" s="32" t="s">
        <v>1436</v>
      </c>
      <c r="G95" s="32" t="s">
        <v>1445</v>
      </c>
      <c r="H95" s="32" t="s">
        <v>1430</v>
      </c>
    </row>
    <row r="96" spans="1:8" x14ac:dyDescent="0.25">
      <c r="A96" s="32" t="s">
        <v>187</v>
      </c>
      <c r="B96" s="33" t="s">
        <v>186</v>
      </c>
      <c r="C96" s="32" t="s">
        <v>181</v>
      </c>
      <c r="D96" s="32" t="s">
        <v>18</v>
      </c>
      <c r="E96" s="32" t="s">
        <v>1384</v>
      </c>
      <c r="F96" s="32" t="s">
        <v>1436</v>
      </c>
      <c r="G96" s="32" t="s">
        <v>1445</v>
      </c>
      <c r="H96" s="32" t="s">
        <v>1430</v>
      </c>
    </row>
    <row r="97" spans="1:8" x14ac:dyDescent="0.25">
      <c r="A97" s="36" t="s">
        <v>189</v>
      </c>
      <c r="B97" s="37" t="s">
        <v>188</v>
      </c>
      <c r="C97" s="36"/>
      <c r="D97" s="36" t="s">
        <v>36</v>
      </c>
      <c r="E97" s="36" t="s">
        <v>1395</v>
      </c>
      <c r="F97" s="25" t="s">
        <v>1441</v>
      </c>
      <c r="G97" s="25" t="s">
        <v>30</v>
      </c>
      <c r="H97" s="36" t="s">
        <v>1432</v>
      </c>
    </row>
    <row r="98" spans="1:8" x14ac:dyDescent="0.25">
      <c r="A98" s="28" t="s">
        <v>191</v>
      </c>
      <c r="B98" s="29" t="s">
        <v>190</v>
      </c>
      <c r="C98" s="28"/>
      <c r="D98" s="28" t="s">
        <v>4</v>
      </c>
      <c r="E98" s="28" t="s">
        <v>1389</v>
      </c>
      <c r="F98" s="28" t="s">
        <v>1438</v>
      </c>
      <c r="G98" s="28" t="s">
        <v>1423</v>
      </c>
      <c r="H98" s="28" t="s">
        <v>1430</v>
      </c>
    </row>
    <row r="99" spans="1:8" x14ac:dyDescent="0.25">
      <c r="A99" s="18" t="s">
        <v>1302</v>
      </c>
      <c r="B99" s="19" t="s">
        <v>192</v>
      </c>
      <c r="C99" s="18"/>
      <c r="D99" s="18" t="s">
        <v>26</v>
      </c>
      <c r="E99" s="18" t="s">
        <v>1390</v>
      </c>
      <c r="F99" s="18" t="s">
        <v>1444</v>
      </c>
      <c r="G99" s="18" t="s">
        <v>1429</v>
      </c>
      <c r="H99" s="18" t="s">
        <v>1431</v>
      </c>
    </row>
    <row r="100" spans="1:8" x14ac:dyDescent="0.25">
      <c r="A100" s="36" t="s">
        <v>194</v>
      </c>
      <c r="B100" s="37" t="s">
        <v>193</v>
      </c>
      <c r="C100" s="36"/>
      <c r="D100" s="36" t="s">
        <v>13</v>
      </c>
      <c r="E100" s="36" t="s">
        <v>1393</v>
      </c>
      <c r="F100" s="36" t="s">
        <v>1440</v>
      </c>
      <c r="G100" s="36" t="s">
        <v>1424</v>
      </c>
      <c r="H100" s="36" t="s">
        <v>1432</v>
      </c>
    </row>
    <row r="101" spans="1:8" x14ac:dyDescent="0.25">
      <c r="A101" s="25" t="s">
        <v>196</v>
      </c>
      <c r="B101" s="26" t="s">
        <v>195</v>
      </c>
      <c r="C101" s="25"/>
      <c r="D101" s="25" t="s">
        <v>197</v>
      </c>
      <c r="E101" s="25" t="s">
        <v>1402</v>
      </c>
      <c r="F101" s="25"/>
      <c r="G101" s="25" t="s">
        <v>30</v>
      </c>
      <c r="H101" s="25" t="s">
        <v>1432</v>
      </c>
    </row>
    <row r="102" spans="1:8" x14ac:dyDescent="0.25">
      <c r="A102" s="25" t="s">
        <v>1303</v>
      </c>
      <c r="B102" s="26" t="s">
        <v>198</v>
      </c>
      <c r="C102" s="25"/>
      <c r="D102" s="25" t="s">
        <v>7</v>
      </c>
      <c r="E102" s="25" t="s">
        <v>1391</v>
      </c>
      <c r="F102" s="18" t="s">
        <v>1439</v>
      </c>
      <c r="G102" s="36" t="s">
        <v>1429</v>
      </c>
      <c r="H102" s="25" t="s">
        <v>1431</v>
      </c>
    </row>
    <row r="103" spans="1:8" x14ac:dyDescent="0.25">
      <c r="A103" s="28" t="s">
        <v>200</v>
      </c>
      <c r="B103" s="29" t="s">
        <v>199</v>
      </c>
      <c r="C103" s="28"/>
      <c r="D103" s="28" t="s">
        <v>136</v>
      </c>
      <c r="E103" s="28" t="s">
        <v>1386</v>
      </c>
      <c r="F103" s="32" t="s">
        <v>1437</v>
      </c>
      <c r="G103" s="32" t="s">
        <v>1422</v>
      </c>
      <c r="H103" s="28" t="s">
        <v>1430</v>
      </c>
    </row>
    <row r="104" spans="1:8" x14ac:dyDescent="0.25">
      <c r="A104" s="32" t="s">
        <v>202</v>
      </c>
      <c r="B104" s="33" t="s">
        <v>201</v>
      </c>
      <c r="C104" s="32"/>
      <c r="D104" s="32" t="s">
        <v>48</v>
      </c>
      <c r="E104" s="32" t="s">
        <v>1387</v>
      </c>
      <c r="F104" s="32" t="s">
        <v>1437</v>
      </c>
      <c r="G104" s="32" t="s">
        <v>1422</v>
      </c>
      <c r="H104" s="32" t="s">
        <v>1430</v>
      </c>
    </row>
    <row r="105" spans="1:8" x14ac:dyDescent="0.25">
      <c r="A105" s="32" t="s">
        <v>204</v>
      </c>
      <c r="B105" s="33" t="s">
        <v>203</v>
      </c>
      <c r="C105" s="32"/>
      <c r="D105" s="32" t="s">
        <v>18</v>
      </c>
      <c r="E105" s="32" t="s">
        <v>1384</v>
      </c>
      <c r="F105" s="32" t="s">
        <v>1436</v>
      </c>
      <c r="G105" s="32" t="s">
        <v>1445</v>
      </c>
      <c r="H105" s="32" t="s">
        <v>1430</v>
      </c>
    </row>
    <row r="106" spans="1:8" x14ac:dyDescent="0.25">
      <c r="A106" s="32" t="s">
        <v>206</v>
      </c>
      <c r="B106" s="33" t="s">
        <v>205</v>
      </c>
      <c r="C106" s="32"/>
      <c r="D106" s="32" t="s">
        <v>18</v>
      </c>
      <c r="E106" s="32" t="s">
        <v>1384</v>
      </c>
      <c r="F106" s="32" t="s">
        <v>1436</v>
      </c>
      <c r="G106" s="32" t="s">
        <v>1445</v>
      </c>
      <c r="H106" s="32" t="s">
        <v>1430</v>
      </c>
    </row>
    <row r="107" spans="1:8" x14ac:dyDescent="0.25">
      <c r="A107" s="38" t="s">
        <v>208</v>
      </c>
      <c r="B107" s="37" t="s">
        <v>207</v>
      </c>
      <c r="C107" s="38"/>
      <c r="D107" s="36" t="s">
        <v>36</v>
      </c>
      <c r="E107" s="36" t="s">
        <v>1395</v>
      </c>
      <c r="F107" s="25" t="s">
        <v>1441</v>
      </c>
      <c r="G107" s="25" t="s">
        <v>30</v>
      </c>
      <c r="H107" s="36" t="s">
        <v>1432</v>
      </c>
    </row>
    <row r="108" spans="1:8" x14ac:dyDescent="0.25">
      <c r="A108" s="32" t="s">
        <v>210</v>
      </c>
      <c r="B108" s="33" t="s">
        <v>209</v>
      </c>
      <c r="C108" s="32" t="s">
        <v>172</v>
      </c>
      <c r="D108" s="32" t="s">
        <v>18</v>
      </c>
      <c r="E108" s="32" t="s">
        <v>1384</v>
      </c>
      <c r="F108" s="32" t="s">
        <v>1436</v>
      </c>
      <c r="G108" s="32" t="s">
        <v>1445</v>
      </c>
      <c r="H108" s="32" t="s">
        <v>1430</v>
      </c>
    </row>
    <row r="109" spans="1:8" x14ac:dyDescent="0.25">
      <c r="A109" s="25" t="s">
        <v>212</v>
      </c>
      <c r="B109" s="26" t="s">
        <v>211</v>
      </c>
      <c r="C109" s="25"/>
      <c r="D109" s="25" t="s">
        <v>55</v>
      </c>
      <c r="E109" s="25" t="s">
        <v>1388</v>
      </c>
      <c r="F109" s="32" t="s">
        <v>1437</v>
      </c>
      <c r="G109" s="25" t="s">
        <v>1423</v>
      </c>
      <c r="H109" s="25" t="s">
        <v>1430</v>
      </c>
    </row>
    <row r="110" spans="1:8" x14ac:dyDescent="0.25">
      <c r="A110" s="32" t="s">
        <v>214</v>
      </c>
      <c r="B110" s="33" t="s">
        <v>213</v>
      </c>
      <c r="C110" s="32" t="s">
        <v>215</v>
      </c>
      <c r="D110" s="32" t="s">
        <v>18</v>
      </c>
      <c r="E110" s="32" t="s">
        <v>1384</v>
      </c>
      <c r="F110" s="32" t="s">
        <v>1436</v>
      </c>
      <c r="G110" s="32" t="s">
        <v>1445</v>
      </c>
      <c r="H110" s="32" t="s">
        <v>1430</v>
      </c>
    </row>
    <row r="111" spans="1:8" x14ac:dyDescent="0.25">
      <c r="A111" s="18" t="s">
        <v>217</v>
      </c>
      <c r="B111" s="19" t="s">
        <v>216</v>
      </c>
      <c r="C111" s="18"/>
      <c r="D111" s="18" t="s">
        <v>26</v>
      </c>
      <c r="E111" s="18" t="s">
        <v>1390</v>
      </c>
      <c r="F111" s="18" t="s">
        <v>1444</v>
      </c>
      <c r="G111" s="18" t="s">
        <v>1429</v>
      </c>
      <c r="H111" s="18" t="s">
        <v>1431</v>
      </c>
    </row>
    <row r="112" spans="1:8" x14ac:dyDescent="0.25">
      <c r="A112" s="28" t="s">
        <v>219</v>
      </c>
      <c r="B112" s="29" t="s">
        <v>218</v>
      </c>
      <c r="C112" s="28"/>
      <c r="D112" s="28" t="s">
        <v>4</v>
      </c>
      <c r="E112" s="28" t="s">
        <v>1389</v>
      </c>
      <c r="F112" s="28" t="s">
        <v>1438</v>
      </c>
      <c r="G112" s="28" t="s">
        <v>1423</v>
      </c>
      <c r="H112" s="28" t="s">
        <v>1430</v>
      </c>
    </row>
    <row r="113" spans="1:8" x14ac:dyDescent="0.25">
      <c r="A113" s="32" t="s">
        <v>221</v>
      </c>
      <c r="B113" s="33" t="s">
        <v>220</v>
      </c>
      <c r="C113" s="32"/>
      <c r="D113" s="32" t="s">
        <v>48</v>
      </c>
      <c r="E113" s="32" t="s">
        <v>1387</v>
      </c>
      <c r="F113" s="32" t="s">
        <v>1437</v>
      </c>
      <c r="G113" s="32" t="s">
        <v>1422</v>
      </c>
      <c r="H113" s="32" t="s">
        <v>1430</v>
      </c>
    </row>
    <row r="114" spans="1:8" x14ac:dyDescent="0.25">
      <c r="A114" s="25" t="s">
        <v>223</v>
      </c>
      <c r="B114" s="26" t="s">
        <v>222</v>
      </c>
      <c r="C114" s="25"/>
      <c r="D114" s="25" t="s">
        <v>7</v>
      </c>
      <c r="E114" s="25" t="s">
        <v>1391</v>
      </c>
      <c r="F114" s="18" t="s">
        <v>1439</v>
      </c>
      <c r="G114" s="18" t="s">
        <v>30</v>
      </c>
      <c r="H114" s="25" t="s">
        <v>1431</v>
      </c>
    </row>
    <row r="115" spans="1:8" x14ac:dyDescent="0.25">
      <c r="A115" s="18" t="s">
        <v>225</v>
      </c>
      <c r="B115" s="19" t="s">
        <v>224</v>
      </c>
      <c r="C115" s="18" t="s">
        <v>225</v>
      </c>
      <c r="D115" s="18" t="s">
        <v>26</v>
      </c>
      <c r="E115" s="18" t="s">
        <v>1390</v>
      </c>
      <c r="F115" s="18" t="s">
        <v>1444</v>
      </c>
      <c r="G115" s="18" t="s">
        <v>1429</v>
      </c>
      <c r="H115" s="18" t="s">
        <v>1431</v>
      </c>
    </row>
    <row r="116" spans="1:8" x14ac:dyDescent="0.25">
      <c r="A116" s="28" t="s">
        <v>227</v>
      </c>
      <c r="B116" s="29" t="s">
        <v>226</v>
      </c>
      <c r="C116" s="28"/>
      <c r="D116" s="28" t="s">
        <v>4</v>
      </c>
      <c r="E116" s="28" t="s">
        <v>1389</v>
      </c>
      <c r="F116" s="28" t="s">
        <v>1438</v>
      </c>
      <c r="G116" s="28" t="s">
        <v>1423</v>
      </c>
      <c r="H116" s="28" t="s">
        <v>1430</v>
      </c>
    </row>
    <row r="117" spans="1:8" x14ac:dyDescent="0.25">
      <c r="A117" s="36" t="s">
        <v>229</v>
      </c>
      <c r="B117" s="37" t="s">
        <v>228</v>
      </c>
      <c r="C117" s="36"/>
      <c r="D117" s="36" t="s">
        <v>13</v>
      </c>
      <c r="E117" s="36" t="s">
        <v>1393</v>
      </c>
      <c r="F117" s="36" t="s">
        <v>1440</v>
      </c>
      <c r="G117" s="36" t="s">
        <v>1424</v>
      </c>
      <c r="H117" s="36" t="s">
        <v>1432</v>
      </c>
    </row>
    <row r="118" spans="1:8" x14ac:dyDescent="0.25">
      <c r="A118" s="18" t="s">
        <v>231</v>
      </c>
      <c r="B118" s="19" t="s">
        <v>230</v>
      </c>
      <c r="C118" s="18"/>
      <c r="D118" s="18" t="s">
        <v>26</v>
      </c>
      <c r="E118" s="18" t="s">
        <v>1390</v>
      </c>
      <c r="F118" s="18" t="s">
        <v>1444</v>
      </c>
      <c r="G118" s="18" t="s">
        <v>1429</v>
      </c>
      <c r="H118" s="18" t="s">
        <v>1431</v>
      </c>
    </row>
    <row r="119" spans="1:8" x14ac:dyDescent="0.25">
      <c r="A119" s="28" t="s">
        <v>233</v>
      </c>
      <c r="B119" s="29" t="s">
        <v>232</v>
      </c>
      <c r="C119" s="28"/>
      <c r="D119" s="31" t="s">
        <v>4</v>
      </c>
      <c r="E119" s="28" t="s">
        <v>1389</v>
      </c>
      <c r="F119" s="28" t="s">
        <v>1438</v>
      </c>
      <c r="G119" s="28" t="s">
        <v>1423</v>
      </c>
      <c r="H119" s="28" t="s">
        <v>1430</v>
      </c>
    </row>
    <row r="120" spans="1:8" x14ac:dyDescent="0.25">
      <c r="A120" s="28" t="s">
        <v>235</v>
      </c>
      <c r="B120" s="29" t="s">
        <v>234</v>
      </c>
      <c r="C120" s="28"/>
      <c r="D120" s="28" t="s">
        <v>4</v>
      </c>
      <c r="E120" s="28" t="s">
        <v>1389</v>
      </c>
      <c r="F120" s="28" t="s">
        <v>1438</v>
      </c>
      <c r="G120" s="28" t="s">
        <v>1423</v>
      </c>
      <c r="H120" s="28" t="s">
        <v>1430</v>
      </c>
    </row>
    <row r="121" spans="1:8" x14ac:dyDescent="0.25">
      <c r="A121" s="32" t="s">
        <v>237</v>
      </c>
      <c r="B121" s="33" t="s">
        <v>236</v>
      </c>
      <c r="C121" s="32"/>
      <c r="D121" s="15" t="s">
        <v>76</v>
      </c>
      <c r="E121" s="32" t="s">
        <v>1397</v>
      </c>
      <c r="F121" s="32" t="s">
        <v>1436</v>
      </c>
      <c r="G121" s="32" t="s">
        <v>1445</v>
      </c>
      <c r="H121" s="15" t="s">
        <v>1431</v>
      </c>
    </row>
    <row r="122" spans="1:8" x14ac:dyDescent="0.25">
      <c r="A122" s="36" t="s">
        <v>239</v>
      </c>
      <c r="B122" s="37" t="s">
        <v>238</v>
      </c>
      <c r="C122" s="36"/>
      <c r="D122" s="36" t="s">
        <v>13</v>
      </c>
      <c r="E122" s="36" t="s">
        <v>1393</v>
      </c>
      <c r="F122" s="36" t="s">
        <v>1440</v>
      </c>
      <c r="G122" s="36" t="s">
        <v>1424</v>
      </c>
      <c r="H122" s="36" t="s">
        <v>1432</v>
      </c>
    </row>
    <row r="123" spans="1:8" x14ac:dyDescent="0.25">
      <c r="A123" s="18" t="s">
        <v>244</v>
      </c>
      <c r="B123" s="19" t="s">
        <v>243</v>
      </c>
      <c r="C123" s="18"/>
      <c r="D123" s="18" t="s">
        <v>61</v>
      </c>
      <c r="E123" s="18" t="s">
        <v>1396</v>
      </c>
      <c r="F123" s="18" t="s">
        <v>1444</v>
      </c>
      <c r="G123" s="18" t="s">
        <v>1429</v>
      </c>
      <c r="H123" s="18" t="s">
        <v>1431</v>
      </c>
    </row>
    <row r="124" spans="1:8" x14ac:dyDescent="0.25">
      <c r="A124" s="36" t="s">
        <v>246</v>
      </c>
      <c r="B124" s="37" t="s">
        <v>245</v>
      </c>
      <c r="C124" s="36" t="s">
        <v>126</v>
      </c>
      <c r="D124" s="36" t="s">
        <v>13</v>
      </c>
      <c r="E124" s="36" t="s">
        <v>1393</v>
      </c>
      <c r="F124" s="36" t="s">
        <v>1440</v>
      </c>
      <c r="G124" s="36" t="s">
        <v>1424</v>
      </c>
      <c r="H124" s="36" t="s">
        <v>1432</v>
      </c>
    </row>
    <row r="125" spans="1:8" x14ac:dyDescent="0.25">
      <c r="A125" s="36" t="s">
        <v>248</v>
      </c>
      <c r="B125" s="37" t="s">
        <v>247</v>
      </c>
      <c r="C125" s="36" t="s">
        <v>126</v>
      </c>
      <c r="D125" s="36" t="s">
        <v>13</v>
      </c>
      <c r="E125" s="36" t="s">
        <v>1393</v>
      </c>
      <c r="F125" s="36" t="s">
        <v>1440</v>
      </c>
      <c r="G125" s="36" t="s">
        <v>1424</v>
      </c>
      <c r="H125" s="36" t="s">
        <v>1432</v>
      </c>
    </row>
    <row r="126" spans="1:8" x14ac:dyDescent="0.25">
      <c r="A126" s="36" t="s">
        <v>250</v>
      </c>
      <c r="B126" s="37" t="s">
        <v>249</v>
      </c>
      <c r="C126" s="36"/>
      <c r="D126" s="36" t="s">
        <v>13</v>
      </c>
      <c r="E126" s="36" t="s">
        <v>1393</v>
      </c>
      <c r="F126" s="36" t="s">
        <v>1440</v>
      </c>
      <c r="G126" s="36" t="s">
        <v>1424</v>
      </c>
      <c r="H126" s="36" t="s">
        <v>1432</v>
      </c>
    </row>
    <row r="127" spans="1:8" x14ac:dyDescent="0.25">
      <c r="A127" s="23" t="s">
        <v>252</v>
      </c>
      <c r="B127" s="22" t="s">
        <v>251</v>
      </c>
      <c r="C127" s="23"/>
      <c r="D127" s="23" t="s">
        <v>10</v>
      </c>
      <c r="E127" s="23" t="s">
        <v>1398</v>
      </c>
      <c r="F127" s="23" t="s">
        <v>1442</v>
      </c>
      <c r="G127" s="23" t="s">
        <v>1422</v>
      </c>
      <c r="H127" s="23" t="s">
        <v>1432</v>
      </c>
    </row>
    <row r="128" spans="1:8" x14ac:dyDescent="0.25">
      <c r="A128" s="28" t="s">
        <v>254</v>
      </c>
      <c r="B128" s="29" t="s">
        <v>253</v>
      </c>
      <c r="C128" s="28"/>
      <c r="D128" s="28" t="s">
        <v>4</v>
      </c>
      <c r="E128" s="28" t="s">
        <v>1389</v>
      </c>
      <c r="F128" s="28" t="s">
        <v>1438</v>
      </c>
      <c r="G128" s="28" t="s">
        <v>1423</v>
      </c>
      <c r="H128" s="28" t="s">
        <v>1430</v>
      </c>
    </row>
    <row r="129" spans="1:8" x14ac:dyDescent="0.25">
      <c r="A129" s="32" t="s">
        <v>256</v>
      </c>
      <c r="B129" s="33" t="s">
        <v>255</v>
      </c>
      <c r="C129" s="32"/>
      <c r="D129" s="32" t="s">
        <v>48</v>
      </c>
      <c r="E129" s="32" t="s">
        <v>1387</v>
      </c>
      <c r="F129" s="32" t="s">
        <v>1437</v>
      </c>
      <c r="G129" s="32" t="s">
        <v>1422</v>
      </c>
      <c r="H129" s="32" t="s">
        <v>1430</v>
      </c>
    </row>
    <row r="130" spans="1:8" x14ac:dyDescent="0.25">
      <c r="A130" s="32" t="s">
        <v>258</v>
      </c>
      <c r="B130" s="33" t="s">
        <v>257</v>
      </c>
      <c r="C130" s="32"/>
      <c r="D130" s="18" t="s">
        <v>76</v>
      </c>
      <c r="E130" s="32" t="s">
        <v>1397</v>
      </c>
      <c r="F130" s="32" t="s">
        <v>1436</v>
      </c>
      <c r="G130" s="32" t="s">
        <v>1445</v>
      </c>
      <c r="H130" s="18" t="s">
        <v>1431</v>
      </c>
    </row>
    <row r="131" spans="1:8" x14ac:dyDescent="0.25">
      <c r="A131" s="36" t="s">
        <v>260</v>
      </c>
      <c r="B131" s="37" t="s">
        <v>259</v>
      </c>
      <c r="C131" s="36" t="s">
        <v>126</v>
      </c>
      <c r="D131" s="36" t="s">
        <v>13</v>
      </c>
      <c r="E131" s="36" t="s">
        <v>1393</v>
      </c>
      <c r="F131" s="36" t="s">
        <v>1440</v>
      </c>
      <c r="G131" s="36" t="s">
        <v>1424</v>
      </c>
      <c r="H131" s="36" t="s">
        <v>1432</v>
      </c>
    </row>
    <row r="132" spans="1:8" x14ac:dyDescent="0.25">
      <c r="A132" s="28" t="s">
        <v>262</v>
      </c>
      <c r="B132" s="29" t="s">
        <v>261</v>
      </c>
      <c r="C132" s="28"/>
      <c r="D132" s="28" t="s">
        <v>4</v>
      </c>
      <c r="E132" s="28" t="s">
        <v>1389</v>
      </c>
      <c r="F132" s="28" t="s">
        <v>1438</v>
      </c>
      <c r="G132" s="28" t="s">
        <v>1423</v>
      </c>
      <c r="H132" s="28" t="s">
        <v>1430</v>
      </c>
    </row>
    <row r="133" spans="1:8" x14ac:dyDescent="0.25">
      <c r="A133" s="28" t="s">
        <v>264</v>
      </c>
      <c r="B133" s="29" t="s">
        <v>263</v>
      </c>
      <c r="C133" s="28"/>
      <c r="D133" s="31" t="s">
        <v>4</v>
      </c>
      <c r="E133" s="28" t="s">
        <v>1389</v>
      </c>
      <c r="F133" s="28" t="s">
        <v>1438</v>
      </c>
      <c r="G133" s="28" t="s">
        <v>1423</v>
      </c>
      <c r="H133" s="28" t="s">
        <v>1430</v>
      </c>
    </row>
    <row r="134" spans="1:8" x14ac:dyDescent="0.25">
      <c r="A134" s="28" t="s">
        <v>266</v>
      </c>
      <c r="B134" s="29" t="s">
        <v>265</v>
      </c>
      <c r="C134" s="28" t="s">
        <v>1410</v>
      </c>
      <c r="D134" s="28" t="s">
        <v>4</v>
      </c>
      <c r="E134" s="28" t="s">
        <v>1389</v>
      </c>
      <c r="F134" s="28" t="s">
        <v>1438</v>
      </c>
      <c r="G134" s="28" t="s">
        <v>1423</v>
      </c>
      <c r="H134" s="28" t="s">
        <v>1430</v>
      </c>
    </row>
    <row r="135" spans="1:8" x14ac:dyDescent="0.25">
      <c r="A135" s="18" t="s">
        <v>268</v>
      </c>
      <c r="B135" s="19" t="s">
        <v>267</v>
      </c>
      <c r="C135" s="18"/>
      <c r="D135" s="18" t="s">
        <v>7</v>
      </c>
      <c r="E135" s="18" t="s">
        <v>1391</v>
      </c>
      <c r="F135" s="18" t="s">
        <v>1439</v>
      </c>
      <c r="G135" s="18" t="s">
        <v>30</v>
      </c>
      <c r="H135" s="18" t="s">
        <v>1431</v>
      </c>
    </row>
    <row r="136" spans="1:8" x14ac:dyDescent="0.25">
      <c r="A136" s="32" t="s">
        <v>270</v>
      </c>
      <c r="B136" s="33" t="s">
        <v>269</v>
      </c>
      <c r="C136" s="32"/>
      <c r="D136" s="32" t="s">
        <v>18</v>
      </c>
      <c r="E136" s="32" t="s">
        <v>1384</v>
      </c>
      <c r="F136" s="32" t="s">
        <v>1436</v>
      </c>
      <c r="G136" s="32" t="s">
        <v>1445</v>
      </c>
      <c r="H136" s="32" t="s">
        <v>1430</v>
      </c>
    </row>
    <row r="137" spans="1:8" x14ac:dyDescent="0.25">
      <c r="A137" s="32" t="s">
        <v>272</v>
      </c>
      <c r="B137" s="33" t="s">
        <v>271</v>
      </c>
      <c r="C137" s="32"/>
      <c r="D137" s="32" t="s">
        <v>18</v>
      </c>
      <c r="E137" s="32" t="s">
        <v>1384</v>
      </c>
      <c r="F137" s="32" t="s">
        <v>1436</v>
      </c>
      <c r="G137" s="32" t="s">
        <v>1445</v>
      </c>
      <c r="H137" s="32" t="s">
        <v>1430</v>
      </c>
    </row>
    <row r="138" spans="1:8" x14ac:dyDescent="0.25">
      <c r="A138" s="32" t="s">
        <v>274</v>
      </c>
      <c r="B138" s="33" t="s">
        <v>273</v>
      </c>
      <c r="C138" s="32"/>
      <c r="D138" s="18" t="s">
        <v>76</v>
      </c>
      <c r="E138" s="32" t="s">
        <v>1397</v>
      </c>
      <c r="F138" s="32" t="s">
        <v>1436</v>
      </c>
      <c r="G138" s="32" t="s">
        <v>1445</v>
      </c>
      <c r="H138" s="18" t="s">
        <v>1431</v>
      </c>
    </row>
    <row r="139" spans="1:8" x14ac:dyDescent="0.25">
      <c r="A139" s="36" t="s">
        <v>276</v>
      </c>
      <c r="B139" s="37" t="s">
        <v>275</v>
      </c>
      <c r="C139" s="36"/>
      <c r="D139" s="36" t="s">
        <v>13</v>
      </c>
      <c r="E139" s="36" t="s">
        <v>1393</v>
      </c>
      <c r="F139" s="36" t="s">
        <v>1440</v>
      </c>
      <c r="G139" s="36" t="s">
        <v>1424</v>
      </c>
      <c r="H139" s="36" t="s">
        <v>1432</v>
      </c>
    </row>
    <row r="140" spans="1:8" x14ac:dyDescent="0.25">
      <c r="A140" s="18" t="s">
        <v>278</v>
      </c>
      <c r="B140" s="19" t="s">
        <v>277</v>
      </c>
      <c r="C140" s="18"/>
      <c r="D140" s="18" t="s">
        <v>26</v>
      </c>
      <c r="E140" s="18" t="s">
        <v>1390</v>
      </c>
      <c r="F140" s="18" t="s">
        <v>1444</v>
      </c>
      <c r="G140" s="18" t="s">
        <v>1429</v>
      </c>
      <c r="H140" s="18" t="s">
        <v>1431</v>
      </c>
    </row>
    <row r="141" spans="1:8" x14ac:dyDescent="0.25">
      <c r="A141" s="28" t="s">
        <v>280</v>
      </c>
      <c r="B141" s="29" t="s">
        <v>279</v>
      </c>
      <c r="C141" s="28"/>
      <c r="D141" s="28" t="s">
        <v>4</v>
      </c>
      <c r="E141" s="28" t="s">
        <v>1389</v>
      </c>
      <c r="F141" s="28" t="s">
        <v>1438</v>
      </c>
      <c r="G141" s="28" t="s">
        <v>1423</v>
      </c>
      <c r="H141" s="28" t="s">
        <v>1430</v>
      </c>
    </row>
    <row r="142" spans="1:8" x14ac:dyDescent="0.25">
      <c r="A142" s="18" t="s">
        <v>282</v>
      </c>
      <c r="B142" s="19" t="s">
        <v>281</v>
      </c>
      <c r="C142" s="18"/>
      <c r="D142" s="18" t="s">
        <v>26</v>
      </c>
      <c r="E142" s="18" t="s">
        <v>1390</v>
      </c>
      <c r="F142" s="18" t="s">
        <v>1444</v>
      </c>
      <c r="G142" s="18" t="s">
        <v>1429</v>
      </c>
      <c r="H142" s="18" t="s">
        <v>1431</v>
      </c>
    </row>
    <row r="143" spans="1:8" x14ac:dyDescent="0.25">
      <c r="A143" s="36" t="s">
        <v>284</v>
      </c>
      <c r="B143" s="37" t="s">
        <v>283</v>
      </c>
      <c r="C143" s="36"/>
      <c r="D143" s="36" t="s">
        <v>13</v>
      </c>
      <c r="E143" s="36" t="s">
        <v>1393</v>
      </c>
      <c r="F143" s="36" t="s">
        <v>1440</v>
      </c>
      <c r="G143" s="36" t="s">
        <v>1424</v>
      </c>
      <c r="H143" s="36" t="s">
        <v>1432</v>
      </c>
    </row>
    <row r="144" spans="1:8" x14ac:dyDescent="0.25">
      <c r="A144" s="18" t="s">
        <v>286</v>
      </c>
      <c r="B144" s="19" t="s">
        <v>285</v>
      </c>
      <c r="C144" s="18"/>
      <c r="D144" s="18" t="s">
        <v>61</v>
      </c>
      <c r="E144" s="18" t="s">
        <v>1396</v>
      </c>
      <c r="F144" s="18" t="s">
        <v>1444</v>
      </c>
      <c r="G144" s="18" t="s">
        <v>1429</v>
      </c>
      <c r="H144" s="18" t="s">
        <v>1431</v>
      </c>
    </row>
    <row r="145" spans="1:8" x14ac:dyDescent="0.25">
      <c r="A145" s="23" t="s">
        <v>288</v>
      </c>
      <c r="B145" s="22" t="s">
        <v>287</v>
      </c>
      <c r="C145" s="23"/>
      <c r="D145" s="23" t="s">
        <v>10</v>
      </c>
      <c r="E145" s="23" t="s">
        <v>1398</v>
      </c>
      <c r="F145" s="23" t="s">
        <v>1442</v>
      </c>
      <c r="G145" s="23" t="s">
        <v>1422</v>
      </c>
      <c r="H145" s="23" t="s">
        <v>1432</v>
      </c>
    </row>
    <row r="146" spans="1:8" x14ac:dyDescent="0.25">
      <c r="A146" s="18" t="s">
        <v>290</v>
      </c>
      <c r="B146" s="19" t="s">
        <v>289</v>
      </c>
      <c r="C146" s="18" t="s">
        <v>1383</v>
      </c>
      <c r="D146" s="18" t="s">
        <v>26</v>
      </c>
      <c r="E146" s="18" t="s">
        <v>1390</v>
      </c>
      <c r="F146" s="18" t="s">
        <v>1444</v>
      </c>
      <c r="G146" s="18" t="s">
        <v>1429</v>
      </c>
      <c r="H146" s="18" t="s">
        <v>1431</v>
      </c>
    </row>
    <row r="147" spans="1:8" x14ac:dyDescent="0.25">
      <c r="A147" s="25" t="s">
        <v>292</v>
      </c>
      <c r="B147" s="26" t="s">
        <v>291</v>
      </c>
      <c r="C147" s="25"/>
      <c r="D147" s="25" t="s">
        <v>7</v>
      </c>
      <c r="E147" s="25" t="s">
        <v>1391</v>
      </c>
      <c r="F147" s="18" t="s">
        <v>1439</v>
      </c>
      <c r="G147" s="18" t="s">
        <v>30</v>
      </c>
      <c r="H147" s="25" t="s">
        <v>1431</v>
      </c>
    </row>
    <row r="148" spans="1:8" x14ac:dyDescent="0.25">
      <c r="A148" s="18" t="s">
        <v>294</v>
      </c>
      <c r="B148" s="19" t="s">
        <v>293</v>
      </c>
      <c r="C148" s="18" t="s">
        <v>295</v>
      </c>
      <c r="D148" s="18" t="s">
        <v>26</v>
      </c>
      <c r="E148" s="18" t="s">
        <v>1390</v>
      </c>
      <c r="F148" s="18" t="s">
        <v>1444</v>
      </c>
      <c r="G148" s="18" t="s">
        <v>1429</v>
      </c>
      <c r="H148" s="18" t="s">
        <v>1431</v>
      </c>
    </row>
    <row r="149" spans="1:8" x14ac:dyDescent="0.25">
      <c r="A149" s="25" t="s">
        <v>1304</v>
      </c>
      <c r="B149" s="26" t="s">
        <v>296</v>
      </c>
      <c r="C149" s="25"/>
      <c r="D149" s="25" t="s">
        <v>55</v>
      </c>
      <c r="E149" s="25" t="s">
        <v>1388</v>
      </c>
      <c r="F149" s="32" t="s">
        <v>1437</v>
      </c>
      <c r="G149" s="25" t="s">
        <v>1423</v>
      </c>
      <c r="H149" s="25" t="s">
        <v>1430</v>
      </c>
    </row>
    <row r="150" spans="1:8" x14ac:dyDescent="0.25">
      <c r="A150" s="25" t="s">
        <v>1392</v>
      </c>
      <c r="B150" s="26" t="s">
        <v>297</v>
      </c>
      <c r="C150" s="25"/>
      <c r="D150" s="25" t="s">
        <v>7</v>
      </c>
      <c r="E150" s="25" t="s">
        <v>1391</v>
      </c>
      <c r="F150" s="18" t="s">
        <v>1439</v>
      </c>
      <c r="G150" s="36" t="s">
        <v>1429</v>
      </c>
      <c r="H150" s="25" t="s">
        <v>1431</v>
      </c>
    </row>
    <row r="151" spans="1:8" x14ac:dyDescent="0.25">
      <c r="A151" s="28" t="s">
        <v>1305</v>
      </c>
      <c r="B151" s="29" t="s">
        <v>298</v>
      </c>
      <c r="C151" s="28"/>
      <c r="D151" s="31" t="s">
        <v>4</v>
      </c>
      <c r="E151" s="28" t="s">
        <v>1389</v>
      </c>
      <c r="F151" s="28" t="s">
        <v>1438</v>
      </c>
      <c r="G151" s="28" t="s">
        <v>1423</v>
      </c>
      <c r="H151" s="28" t="s">
        <v>1430</v>
      </c>
    </row>
    <row r="152" spans="1:8" x14ac:dyDescent="0.25">
      <c r="A152" s="25" t="s">
        <v>1306</v>
      </c>
      <c r="B152" s="26" t="s">
        <v>299</v>
      </c>
      <c r="C152" s="25"/>
      <c r="D152" s="25" t="s">
        <v>55</v>
      </c>
      <c r="E152" s="25" t="s">
        <v>1388</v>
      </c>
      <c r="F152" s="32" t="s">
        <v>1437</v>
      </c>
      <c r="G152" s="25" t="s">
        <v>1423</v>
      </c>
      <c r="H152" s="25" t="s">
        <v>1430</v>
      </c>
    </row>
    <row r="153" spans="1:8" x14ac:dyDescent="0.25">
      <c r="A153" s="36" t="s">
        <v>1307</v>
      </c>
      <c r="B153" s="37" t="s">
        <v>300</v>
      </c>
      <c r="C153" s="36" t="s">
        <v>1406</v>
      </c>
      <c r="D153" s="36" t="s">
        <v>13</v>
      </c>
      <c r="E153" s="36" t="s">
        <v>1393</v>
      </c>
      <c r="F153" s="36" t="s">
        <v>1440</v>
      </c>
      <c r="G153" s="36" t="s">
        <v>1424</v>
      </c>
      <c r="H153" s="36" t="s">
        <v>1432</v>
      </c>
    </row>
    <row r="154" spans="1:8" x14ac:dyDescent="0.25">
      <c r="A154" s="38" t="s">
        <v>302</v>
      </c>
      <c r="B154" s="37" t="s">
        <v>301</v>
      </c>
      <c r="C154" s="38"/>
      <c r="D154" s="36" t="s">
        <v>36</v>
      </c>
      <c r="E154" s="36" t="s">
        <v>1395</v>
      </c>
      <c r="F154" s="25" t="s">
        <v>1441</v>
      </c>
      <c r="G154" s="25" t="s">
        <v>30</v>
      </c>
      <c r="H154" s="36" t="s">
        <v>1432</v>
      </c>
    </row>
    <row r="155" spans="1:8" x14ac:dyDescent="0.25">
      <c r="A155" s="36" t="s">
        <v>304</v>
      </c>
      <c r="B155" s="37" t="s">
        <v>303</v>
      </c>
      <c r="C155" s="36"/>
      <c r="D155" s="36" t="s">
        <v>29</v>
      </c>
      <c r="E155" s="36" t="s">
        <v>1394</v>
      </c>
      <c r="F155" s="25" t="s">
        <v>1441</v>
      </c>
      <c r="G155" s="25" t="s">
        <v>30</v>
      </c>
      <c r="H155" s="36" t="s">
        <v>1432</v>
      </c>
    </row>
    <row r="156" spans="1:8" x14ac:dyDescent="0.25">
      <c r="A156" s="25" t="s">
        <v>306</v>
      </c>
      <c r="B156" s="26" t="s">
        <v>305</v>
      </c>
      <c r="C156" s="25"/>
      <c r="D156" s="25" t="s">
        <v>29</v>
      </c>
      <c r="E156" s="25" t="s">
        <v>1394</v>
      </c>
      <c r="F156" s="25" t="s">
        <v>1441</v>
      </c>
      <c r="G156" s="25" t="s">
        <v>30</v>
      </c>
      <c r="H156" s="25" t="s">
        <v>1432</v>
      </c>
    </row>
    <row r="157" spans="1:8" x14ac:dyDescent="0.25">
      <c r="A157" s="25" t="s">
        <v>308</v>
      </c>
      <c r="B157" s="26" t="s">
        <v>307</v>
      </c>
      <c r="C157" s="25"/>
      <c r="D157" s="25" t="s">
        <v>7</v>
      </c>
      <c r="E157" s="25" t="s">
        <v>1391</v>
      </c>
      <c r="F157" s="18" t="s">
        <v>1439</v>
      </c>
      <c r="G157" s="18" t="s">
        <v>30</v>
      </c>
      <c r="H157" s="25" t="s">
        <v>1431</v>
      </c>
    </row>
    <row r="158" spans="1:8" x14ac:dyDescent="0.25">
      <c r="A158" s="18" t="s">
        <v>310</v>
      </c>
      <c r="B158" s="19" t="s">
        <v>309</v>
      </c>
      <c r="C158" s="18"/>
      <c r="D158" s="18" t="s">
        <v>26</v>
      </c>
      <c r="E158" s="18" t="s">
        <v>1390</v>
      </c>
      <c r="F158" s="18" t="s">
        <v>1444</v>
      </c>
      <c r="G158" s="18" t="s">
        <v>1429</v>
      </c>
      <c r="H158" s="18" t="s">
        <v>1431</v>
      </c>
    </row>
    <row r="159" spans="1:8" x14ac:dyDescent="0.25">
      <c r="A159" s="18" t="s">
        <v>312</v>
      </c>
      <c r="B159" s="19" t="s">
        <v>311</v>
      </c>
      <c r="C159" s="18"/>
      <c r="D159" s="18" t="s">
        <v>26</v>
      </c>
      <c r="E159" s="18" t="s">
        <v>1390</v>
      </c>
      <c r="F159" s="18" t="s">
        <v>1444</v>
      </c>
      <c r="G159" s="18" t="s">
        <v>1429</v>
      </c>
      <c r="H159" s="18" t="s">
        <v>1431</v>
      </c>
    </row>
    <row r="160" spans="1:8" x14ac:dyDescent="0.25">
      <c r="A160" s="18" t="s">
        <v>1308</v>
      </c>
      <c r="B160" s="19" t="s">
        <v>313</v>
      </c>
      <c r="C160" s="18" t="s">
        <v>295</v>
      </c>
      <c r="D160" s="18" t="s">
        <v>26</v>
      </c>
      <c r="E160" s="18" t="s">
        <v>1390</v>
      </c>
      <c r="F160" s="18" t="s">
        <v>1444</v>
      </c>
      <c r="G160" s="18" t="s">
        <v>1429</v>
      </c>
      <c r="H160" s="18" t="s">
        <v>1431</v>
      </c>
    </row>
    <row r="161" spans="1:8" x14ac:dyDescent="0.25">
      <c r="A161" s="25" t="s">
        <v>315</v>
      </c>
      <c r="B161" s="26" t="s">
        <v>314</v>
      </c>
      <c r="C161" s="25"/>
      <c r="D161" s="25" t="s">
        <v>7</v>
      </c>
      <c r="E161" s="25" t="s">
        <v>1391</v>
      </c>
      <c r="F161" s="18" t="s">
        <v>1439</v>
      </c>
      <c r="G161" s="18" t="s">
        <v>30</v>
      </c>
      <c r="H161" s="25" t="s">
        <v>1431</v>
      </c>
    </row>
    <row r="162" spans="1:8" x14ac:dyDescent="0.25">
      <c r="A162" s="18" t="s">
        <v>317</v>
      </c>
      <c r="B162" s="19" t="s">
        <v>316</v>
      </c>
      <c r="C162" s="18" t="s">
        <v>225</v>
      </c>
      <c r="D162" s="18" t="s">
        <v>26</v>
      </c>
      <c r="E162" s="18" t="s">
        <v>1390</v>
      </c>
      <c r="F162" s="18" t="s">
        <v>1444</v>
      </c>
      <c r="G162" s="18" t="s">
        <v>1429</v>
      </c>
      <c r="H162" s="18" t="s">
        <v>1431</v>
      </c>
    </row>
    <row r="163" spans="1:8" x14ac:dyDescent="0.25">
      <c r="A163" s="36" t="s">
        <v>319</v>
      </c>
      <c r="B163" s="37" t="s">
        <v>318</v>
      </c>
      <c r="C163" s="36" t="s">
        <v>126</v>
      </c>
      <c r="D163" s="36" t="s">
        <v>13</v>
      </c>
      <c r="E163" s="36" t="s">
        <v>1393</v>
      </c>
      <c r="F163" s="36" t="s">
        <v>1440</v>
      </c>
      <c r="G163" s="36" t="s">
        <v>1424</v>
      </c>
      <c r="H163" s="36" t="s">
        <v>1432</v>
      </c>
    </row>
    <row r="164" spans="1:8" x14ac:dyDescent="0.25">
      <c r="A164" s="18" t="s">
        <v>321</v>
      </c>
      <c r="B164" s="19" t="s">
        <v>320</v>
      </c>
      <c r="C164" s="18"/>
      <c r="D164" s="18" t="s">
        <v>61</v>
      </c>
      <c r="E164" s="18" t="s">
        <v>1396</v>
      </c>
      <c r="F164" s="18" t="s">
        <v>1444</v>
      </c>
      <c r="G164" s="18" t="s">
        <v>1429</v>
      </c>
      <c r="H164" s="18" t="s">
        <v>1431</v>
      </c>
    </row>
    <row r="165" spans="1:8" x14ac:dyDescent="0.25">
      <c r="A165" s="18" t="s">
        <v>323</v>
      </c>
      <c r="B165" s="19" t="s">
        <v>322</v>
      </c>
      <c r="C165" s="18"/>
      <c r="D165" s="18" t="s">
        <v>61</v>
      </c>
      <c r="E165" s="18" t="s">
        <v>1396</v>
      </c>
      <c r="F165" s="18" t="s">
        <v>1444</v>
      </c>
      <c r="G165" s="18" t="s">
        <v>1429</v>
      </c>
      <c r="H165" s="18" t="s">
        <v>1431</v>
      </c>
    </row>
    <row r="166" spans="1:8" x14ac:dyDescent="0.25">
      <c r="A166" s="32" t="s">
        <v>325</v>
      </c>
      <c r="B166" s="33" t="s">
        <v>324</v>
      </c>
      <c r="C166" s="32"/>
      <c r="D166" s="32" t="s">
        <v>48</v>
      </c>
      <c r="E166" s="32" t="s">
        <v>1387</v>
      </c>
      <c r="F166" s="32" t="s">
        <v>1437</v>
      </c>
      <c r="G166" s="32" t="s">
        <v>1422</v>
      </c>
      <c r="H166" s="32" t="s">
        <v>1430</v>
      </c>
    </row>
    <row r="167" spans="1:8" x14ac:dyDescent="0.25">
      <c r="A167" s="28" t="s">
        <v>327</v>
      </c>
      <c r="B167" s="29" t="s">
        <v>326</v>
      </c>
      <c r="C167" s="28"/>
      <c r="D167" s="28" t="s">
        <v>4</v>
      </c>
      <c r="E167" s="28" t="s">
        <v>1389</v>
      </c>
      <c r="F167" s="28" t="s">
        <v>1438</v>
      </c>
      <c r="G167" s="28" t="s">
        <v>1423</v>
      </c>
      <c r="H167" s="28" t="s">
        <v>1430</v>
      </c>
    </row>
    <row r="168" spans="1:8" x14ac:dyDescent="0.25">
      <c r="A168" s="18" t="s">
        <v>329</v>
      </c>
      <c r="B168" s="19" t="s">
        <v>328</v>
      </c>
      <c r="C168" s="18"/>
      <c r="D168" s="18" t="s">
        <v>61</v>
      </c>
      <c r="E168" s="18" t="s">
        <v>1396</v>
      </c>
      <c r="F168" s="18" t="s">
        <v>1444</v>
      </c>
      <c r="G168" s="18" t="s">
        <v>1429</v>
      </c>
      <c r="H168" s="18" t="s">
        <v>1431</v>
      </c>
    </row>
    <row r="169" spans="1:8" x14ac:dyDescent="0.25">
      <c r="A169" s="18" t="s">
        <v>331</v>
      </c>
      <c r="B169" s="19" t="s">
        <v>330</v>
      </c>
      <c r="C169" s="18" t="s">
        <v>242</v>
      </c>
      <c r="D169" s="18" t="s">
        <v>26</v>
      </c>
      <c r="E169" s="18" t="s">
        <v>1390</v>
      </c>
      <c r="F169" s="18" t="s">
        <v>1444</v>
      </c>
      <c r="G169" s="18" t="s">
        <v>1429</v>
      </c>
      <c r="H169" s="18" t="s">
        <v>1431</v>
      </c>
    </row>
    <row r="170" spans="1:8" x14ac:dyDescent="0.25">
      <c r="A170" s="32" t="s">
        <v>333</v>
      </c>
      <c r="B170" s="33" t="s">
        <v>332</v>
      </c>
      <c r="C170" s="32"/>
      <c r="D170" s="32" t="s">
        <v>48</v>
      </c>
      <c r="E170" s="32" t="s">
        <v>1387</v>
      </c>
      <c r="F170" s="32" t="s">
        <v>1437</v>
      </c>
      <c r="G170" s="32" t="s">
        <v>1422</v>
      </c>
      <c r="H170" s="32" t="s">
        <v>1430</v>
      </c>
    </row>
    <row r="171" spans="1:8" x14ac:dyDescent="0.25">
      <c r="A171" s="21" t="s">
        <v>335</v>
      </c>
      <c r="B171" s="22" t="s">
        <v>334</v>
      </c>
      <c r="C171" s="21"/>
      <c r="D171" s="23" t="s">
        <v>10</v>
      </c>
      <c r="E171" s="23" t="s">
        <v>1398</v>
      </c>
      <c r="F171" s="23" t="s">
        <v>1442</v>
      </c>
      <c r="G171" s="23" t="s">
        <v>1422</v>
      </c>
      <c r="H171" s="23" t="s">
        <v>1432</v>
      </c>
    </row>
    <row r="172" spans="1:8" x14ac:dyDescent="0.25">
      <c r="A172" s="28" t="s">
        <v>337</v>
      </c>
      <c r="B172" s="29" t="s">
        <v>336</v>
      </c>
      <c r="C172" s="28"/>
      <c r="D172" s="28" t="s">
        <v>136</v>
      </c>
      <c r="E172" s="28" t="s">
        <v>1386</v>
      </c>
      <c r="F172" s="32" t="s">
        <v>1437</v>
      </c>
      <c r="G172" s="32" t="s">
        <v>1422</v>
      </c>
      <c r="H172" s="28" t="s">
        <v>1430</v>
      </c>
    </row>
    <row r="173" spans="1:8" x14ac:dyDescent="0.25">
      <c r="A173" s="25" t="s">
        <v>339</v>
      </c>
      <c r="B173" s="26" t="s">
        <v>338</v>
      </c>
      <c r="C173" s="25"/>
      <c r="D173" s="25" t="s">
        <v>55</v>
      </c>
      <c r="E173" s="25" t="s">
        <v>1388</v>
      </c>
      <c r="F173" s="32" t="s">
        <v>1437</v>
      </c>
      <c r="G173" s="25" t="s">
        <v>1423</v>
      </c>
      <c r="H173" s="25" t="s">
        <v>1430</v>
      </c>
    </row>
    <row r="174" spans="1:8" x14ac:dyDescent="0.25">
      <c r="A174" s="36" t="s">
        <v>1309</v>
      </c>
      <c r="B174" s="37" t="s">
        <v>340</v>
      </c>
      <c r="C174" s="36"/>
      <c r="D174" s="36" t="s">
        <v>13</v>
      </c>
      <c r="E174" s="36" t="s">
        <v>1393</v>
      </c>
      <c r="F174" s="36" t="s">
        <v>1440</v>
      </c>
      <c r="G174" s="36" t="s">
        <v>1424</v>
      </c>
      <c r="H174" s="36" t="s">
        <v>1432</v>
      </c>
    </row>
    <row r="175" spans="1:8" x14ac:dyDescent="0.25">
      <c r="A175" s="18" t="s">
        <v>342</v>
      </c>
      <c r="B175" s="19" t="s">
        <v>341</v>
      </c>
      <c r="C175" s="18" t="s">
        <v>73</v>
      </c>
      <c r="D175" s="18" t="s">
        <v>26</v>
      </c>
      <c r="E175" s="18" t="s">
        <v>1390</v>
      </c>
      <c r="F175" s="18" t="s">
        <v>1444</v>
      </c>
      <c r="G175" s="18" t="s">
        <v>1429</v>
      </c>
      <c r="H175" s="18" t="s">
        <v>1431</v>
      </c>
    </row>
    <row r="176" spans="1:8" x14ac:dyDescent="0.25">
      <c r="A176" s="28" t="s">
        <v>344</v>
      </c>
      <c r="B176" s="29" t="s">
        <v>343</v>
      </c>
      <c r="C176" s="28"/>
      <c r="D176" s="28" t="s">
        <v>4</v>
      </c>
      <c r="E176" s="28" t="s">
        <v>1389</v>
      </c>
      <c r="F176" s="28" t="s">
        <v>1438</v>
      </c>
      <c r="G176" s="28" t="s">
        <v>1423</v>
      </c>
      <c r="H176" s="28" t="s">
        <v>1430</v>
      </c>
    </row>
    <row r="177" spans="1:8" x14ac:dyDescent="0.25">
      <c r="A177" s="32" t="s">
        <v>346</v>
      </c>
      <c r="B177" s="33" t="s">
        <v>345</v>
      </c>
      <c r="C177" s="32"/>
      <c r="D177" s="32" t="s">
        <v>48</v>
      </c>
      <c r="E177" s="32" t="s">
        <v>1387</v>
      </c>
      <c r="F177" s="32" t="s">
        <v>1437</v>
      </c>
      <c r="G177" s="32" t="s">
        <v>1422</v>
      </c>
      <c r="H177" s="32" t="s">
        <v>1430</v>
      </c>
    </row>
    <row r="178" spans="1:8" x14ac:dyDescent="0.25">
      <c r="A178" s="36" t="s">
        <v>348</v>
      </c>
      <c r="B178" s="37" t="s">
        <v>347</v>
      </c>
      <c r="C178" s="36" t="s">
        <v>1404</v>
      </c>
      <c r="D178" s="36" t="s">
        <v>13</v>
      </c>
      <c r="E178" s="36" t="s">
        <v>1393</v>
      </c>
      <c r="F178" s="36" t="s">
        <v>1440</v>
      </c>
      <c r="G178" s="36" t="s">
        <v>1424</v>
      </c>
      <c r="H178" s="36" t="s">
        <v>1432</v>
      </c>
    </row>
    <row r="179" spans="1:8" x14ac:dyDescent="0.25">
      <c r="A179" s="25" t="s">
        <v>350</v>
      </c>
      <c r="B179" s="26" t="s">
        <v>349</v>
      </c>
      <c r="C179" s="25"/>
      <c r="D179" s="25" t="s">
        <v>29</v>
      </c>
      <c r="E179" s="25" t="s">
        <v>1394</v>
      </c>
      <c r="F179" s="25" t="s">
        <v>1441</v>
      </c>
      <c r="G179" s="25" t="s">
        <v>30</v>
      </c>
      <c r="H179" s="25" t="s">
        <v>1432</v>
      </c>
    </row>
    <row r="180" spans="1:8" x14ac:dyDescent="0.25">
      <c r="A180" s="25" t="s">
        <v>352</v>
      </c>
      <c r="B180" s="26" t="s">
        <v>351</v>
      </c>
      <c r="C180" s="25"/>
      <c r="D180" s="25" t="s">
        <v>7</v>
      </c>
      <c r="E180" s="25" t="s">
        <v>1391</v>
      </c>
      <c r="F180" s="18" t="s">
        <v>1439</v>
      </c>
      <c r="G180" s="18" t="s">
        <v>30</v>
      </c>
      <c r="H180" s="25" t="s">
        <v>1431</v>
      </c>
    </row>
    <row r="181" spans="1:8" x14ac:dyDescent="0.25">
      <c r="A181" s="28" t="s">
        <v>354</v>
      </c>
      <c r="B181" s="29" t="s">
        <v>353</v>
      </c>
      <c r="C181" s="28"/>
      <c r="D181" s="28" t="s">
        <v>4</v>
      </c>
      <c r="E181" s="28" t="s">
        <v>1389</v>
      </c>
      <c r="F181" s="28" t="s">
        <v>1438</v>
      </c>
      <c r="G181" s="28" t="s">
        <v>1423</v>
      </c>
      <c r="H181" s="28" t="s">
        <v>1430</v>
      </c>
    </row>
    <row r="182" spans="1:8" x14ac:dyDescent="0.25">
      <c r="A182" s="23" t="s">
        <v>356</v>
      </c>
      <c r="B182" s="22" t="s">
        <v>355</v>
      </c>
      <c r="C182" s="23"/>
      <c r="D182" s="23" t="s">
        <v>10</v>
      </c>
      <c r="E182" s="23" t="s">
        <v>1398</v>
      </c>
      <c r="F182" s="23" t="s">
        <v>1442</v>
      </c>
      <c r="G182" s="23" t="s">
        <v>1443</v>
      </c>
      <c r="H182" s="23" t="s">
        <v>1432</v>
      </c>
    </row>
    <row r="183" spans="1:8" x14ac:dyDescent="0.25">
      <c r="A183" s="18" t="s">
        <v>358</v>
      </c>
      <c r="B183" s="19" t="s">
        <v>357</v>
      </c>
      <c r="C183" s="18"/>
      <c r="D183" s="18" t="s">
        <v>7</v>
      </c>
      <c r="E183" s="18" t="s">
        <v>1391</v>
      </c>
      <c r="F183" s="18" t="s">
        <v>1439</v>
      </c>
      <c r="G183" s="18" t="s">
        <v>30</v>
      </c>
      <c r="H183" s="18" t="s">
        <v>1431</v>
      </c>
    </row>
    <row r="184" spans="1:8" x14ac:dyDescent="0.25">
      <c r="A184" s="18" t="s">
        <v>360</v>
      </c>
      <c r="B184" s="19" t="s">
        <v>359</v>
      </c>
      <c r="C184" s="18"/>
      <c r="D184" s="18" t="s">
        <v>26</v>
      </c>
      <c r="E184" s="18" t="s">
        <v>1390</v>
      </c>
      <c r="F184" s="18" t="s">
        <v>1444</v>
      </c>
      <c r="G184" s="18" t="s">
        <v>1429</v>
      </c>
      <c r="H184" s="18" t="s">
        <v>1431</v>
      </c>
    </row>
    <row r="185" spans="1:8" x14ac:dyDescent="0.25">
      <c r="A185" s="25" t="s">
        <v>1310</v>
      </c>
      <c r="B185" s="26" t="s">
        <v>361</v>
      </c>
      <c r="C185" s="25"/>
      <c r="D185" s="25" t="s">
        <v>7</v>
      </c>
      <c r="E185" s="25" t="s">
        <v>1391</v>
      </c>
      <c r="F185" s="18" t="s">
        <v>1439</v>
      </c>
      <c r="G185" s="36" t="s">
        <v>1429</v>
      </c>
      <c r="H185" s="25" t="s">
        <v>1431</v>
      </c>
    </row>
    <row r="186" spans="1:8" x14ac:dyDescent="0.25">
      <c r="A186" s="21" t="s">
        <v>363</v>
      </c>
      <c r="B186" s="22" t="s">
        <v>362</v>
      </c>
      <c r="C186" s="21"/>
      <c r="D186" s="23" t="s">
        <v>10</v>
      </c>
      <c r="E186" s="23" t="s">
        <v>1398</v>
      </c>
      <c r="F186" s="23" t="s">
        <v>1442</v>
      </c>
      <c r="G186" s="23" t="s">
        <v>1422</v>
      </c>
      <c r="H186" s="23" t="s">
        <v>1432</v>
      </c>
    </row>
    <row r="187" spans="1:8" x14ac:dyDescent="0.25">
      <c r="A187" s="32" t="s">
        <v>365</v>
      </c>
      <c r="B187" s="33" t="s">
        <v>364</v>
      </c>
      <c r="C187" s="32"/>
      <c r="D187" s="18" t="s">
        <v>76</v>
      </c>
      <c r="E187" s="32" t="s">
        <v>1397</v>
      </c>
      <c r="F187" s="32" t="s">
        <v>1436</v>
      </c>
      <c r="G187" s="32" t="s">
        <v>1445</v>
      </c>
      <c r="H187" s="18" t="s">
        <v>1431</v>
      </c>
    </row>
    <row r="188" spans="1:8" x14ac:dyDescent="0.25">
      <c r="A188" s="32" t="s">
        <v>367</v>
      </c>
      <c r="B188" s="33" t="s">
        <v>366</v>
      </c>
      <c r="C188" s="32"/>
      <c r="D188" s="18" t="s">
        <v>76</v>
      </c>
      <c r="E188" s="32" t="s">
        <v>1397</v>
      </c>
      <c r="F188" s="32" t="s">
        <v>1436</v>
      </c>
      <c r="G188" s="32" t="s">
        <v>1445</v>
      </c>
      <c r="H188" s="18" t="s">
        <v>1431</v>
      </c>
    </row>
    <row r="189" spans="1:8" x14ac:dyDescent="0.25">
      <c r="A189" s="23" t="s">
        <v>369</v>
      </c>
      <c r="B189" s="22" t="s">
        <v>368</v>
      </c>
      <c r="C189" s="23"/>
      <c r="D189" s="23" t="s">
        <v>10</v>
      </c>
      <c r="E189" s="23" t="s">
        <v>1398</v>
      </c>
      <c r="F189" s="23" t="s">
        <v>1442</v>
      </c>
      <c r="G189" s="23" t="s">
        <v>1422</v>
      </c>
      <c r="H189" s="23" t="s">
        <v>1432</v>
      </c>
    </row>
    <row r="190" spans="1:8" x14ac:dyDescent="0.25">
      <c r="A190" s="18" t="s">
        <v>1311</v>
      </c>
      <c r="B190" s="19" t="s">
        <v>370</v>
      </c>
      <c r="C190" s="18"/>
      <c r="D190" s="18" t="s">
        <v>61</v>
      </c>
      <c r="E190" s="18" t="s">
        <v>1396</v>
      </c>
      <c r="F190" s="18" t="s">
        <v>1444</v>
      </c>
      <c r="G190" s="18" t="s">
        <v>1429</v>
      </c>
      <c r="H190" s="18" t="s">
        <v>1431</v>
      </c>
    </row>
    <row r="191" spans="1:8" x14ac:dyDescent="0.25">
      <c r="A191" s="36" t="s">
        <v>372</v>
      </c>
      <c r="B191" s="37" t="s">
        <v>371</v>
      </c>
      <c r="C191" s="36"/>
      <c r="D191" s="36" t="s">
        <v>13</v>
      </c>
      <c r="E191" s="36" t="s">
        <v>1393</v>
      </c>
      <c r="F191" s="36" t="s">
        <v>1440</v>
      </c>
      <c r="G191" s="36" t="s">
        <v>1424</v>
      </c>
      <c r="H191" s="36" t="s">
        <v>1432</v>
      </c>
    </row>
    <row r="192" spans="1:8" x14ac:dyDescent="0.25">
      <c r="A192" s="23" t="s">
        <v>1312</v>
      </c>
      <c r="B192" s="22" t="s">
        <v>373</v>
      </c>
      <c r="C192" s="23" t="s">
        <v>1399</v>
      </c>
      <c r="D192" s="23" t="s">
        <v>10</v>
      </c>
      <c r="E192" s="23" t="s">
        <v>1398</v>
      </c>
      <c r="F192" s="23" t="s">
        <v>1442</v>
      </c>
      <c r="G192" s="23" t="s">
        <v>1422</v>
      </c>
      <c r="H192" s="23" t="s">
        <v>1432</v>
      </c>
    </row>
    <row r="193" spans="1:8" x14ac:dyDescent="0.25">
      <c r="A193" s="32" t="s">
        <v>375</v>
      </c>
      <c r="B193" s="33" t="s">
        <v>374</v>
      </c>
      <c r="C193" s="32"/>
      <c r="D193" s="18" t="s">
        <v>76</v>
      </c>
      <c r="E193" s="32" t="s">
        <v>1397</v>
      </c>
      <c r="F193" s="32" t="s">
        <v>1436</v>
      </c>
      <c r="G193" s="32" t="s">
        <v>1445</v>
      </c>
      <c r="H193" s="18" t="s">
        <v>1431</v>
      </c>
    </row>
    <row r="194" spans="1:8" x14ac:dyDescent="0.25">
      <c r="A194" s="25" t="s">
        <v>377</v>
      </c>
      <c r="B194" s="26" t="s">
        <v>376</v>
      </c>
      <c r="C194" s="25"/>
      <c r="D194" s="25" t="s">
        <v>7</v>
      </c>
      <c r="E194" s="25" t="s">
        <v>1391</v>
      </c>
      <c r="F194" s="18" t="s">
        <v>1439</v>
      </c>
      <c r="G194" s="18" t="s">
        <v>30</v>
      </c>
      <c r="H194" s="25" t="s">
        <v>1431</v>
      </c>
    </row>
    <row r="195" spans="1:8" x14ac:dyDescent="0.25">
      <c r="A195" s="36" t="s">
        <v>379</v>
      </c>
      <c r="B195" s="37" t="s">
        <v>378</v>
      </c>
      <c r="C195" s="36"/>
      <c r="D195" s="36" t="s">
        <v>13</v>
      </c>
      <c r="E195" s="36" t="s">
        <v>1393</v>
      </c>
      <c r="F195" s="36" t="s">
        <v>1440</v>
      </c>
      <c r="G195" s="36" t="s">
        <v>1424</v>
      </c>
      <c r="H195" s="36" t="s">
        <v>1432</v>
      </c>
    </row>
    <row r="196" spans="1:8" x14ac:dyDescent="0.25">
      <c r="A196" s="18" t="s">
        <v>381</v>
      </c>
      <c r="B196" s="19" t="s">
        <v>380</v>
      </c>
      <c r="C196" s="18" t="s">
        <v>382</v>
      </c>
      <c r="D196" s="18" t="s">
        <v>26</v>
      </c>
      <c r="E196" s="18" t="s">
        <v>1390</v>
      </c>
      <c r="F196" s="18" t="s">
        <v>1444</v>
      </c>
      <c r="G196" s="18" t="s">
        <v>1429</v>
      </c>
      <c r="H196" s="18" t="s">
        <v>1431</v>
      </c>
    </row>
    <row r="197" spans="1:8" x14ac:dyDescent="0.25">
      <c r="A197" s="23" t="s">
        <v>1313</v>
      </c>
      <c r="B197" s="22" t="s">
        <v>383</v>
      </c>
      <c r="C197" s="23"/>
      <c r="D197" s="23" t="s">
        <v>10</v>
      </c>
      <c r="E197" s="23" t="s">
        <v>1398</v>
      </c>
      <c r="F197" s="23" t="s">
        <v>1442</v>
      </c>
      <c r="G197" s="23" t="s">
        <v>1422</v>
      </c>
      <c r="H197" s="23" t="s">
        <v>1432</v>
      </c>
    </row>
    <row r="198" spans="1:8" x14ac:dyDescent="0.25">
      <c r="A198" s="36" t="s">
        <v>385</v>
      </c>
      <c r="B198" s="37" t="s">
        <v>384</v>
      </c>
      <c r="C198" s="36" t="s">
        <v>126</v>
      </c>
      <c r="D198" s="36" t="s">
        <v>13</v>
      </c>
      <c r="E198" s="36" t="s">
        <v>1393</v>
      </c>
      <c r="F198" s="36" t="s">
        <v>1440</v>
      </c>
      <c r="G198" s="36" t="s">
        <v>1424</v>
      </c>
      <c r="H198" s="36" t="s">
        <v>1432</v>
      </c>
    </row>
    <row r="199" spans="1:8" x14ac:dyDescent="0.25">
      <c r="A199" s="18" t="s">
        <v>387</v>
      </c>
      <c r="B199" s="19" t="s">
        <v>386</v>
      </c>
      <c r="C199" s="18" t="s">
        <v>242</v>
      </c>
      <c r="D199" s="18" t="s">
        <v>26</v>
      </c>
      <c r="E199" s="18" t="s">
        <v>1390</v>
      </c>
      <c r="F199" s="18" t="s">
        <v>1444</v>
      </c>
      <c r="G199" s="18" t="s">
        <v>1429</v>
      </c>
      <c r="H199" s="18" t="s">
        <v>1431</v>
      </c>
    </row>
    <row r="200" spans="1:8" x14ac:dyDescent="0.25">
      <c r="A200" s="25" t="s">
        <v>389</v>
      </c>
      <c r="B200" s="26" t="s">
        <v>388</v>
      </c>
      <c r="C200" s="25"/>
      <c r="D200" s="25" t="s">
        <v>29</v>
      </c>
      <c r="E200" s="25" t="s">
        <v>1394</v>
      </c>
      <c r="F200" s="25" t="s">
        <v>1441</v>
      </c>
      <c r="G200" s="25" t="s">
        <v>30</v>
      </c>
      <c r="H200" s="25" t="s">
        <v>1432</v>
      </c>
    </row>
    <row r="201" spans="1:8" x14ac:dyDescent="0.25">
      <c r="A201" s="25" t="s">
        <v>391</v>
      </c>
      <c r="B201" s="26" t="s">
        <v>390</v>
      </c>
      <c r="C201" s="25"/>
      <c r="D201" s="25" t="s">
        <v>7</v>
      </c>
      <c r="E201" s="25" t="s">
        <v>1391</v>
      </c>
      <c r="F201" s="18" t="s">
        <v>1439</v>
      </c>
      <c r="G201" s="18" t="s">
        <v>30</v>
      </c>
      <c r="H201" s="25" t="s">
        <v>1431</v>
      </c>
    </row>
    <row r="202" spans="1:8" x14ac:dyDescent="0.25">
      <c r="A202" s="32" t="s">
        <v>393</v>
      </c>
      <c r="B202" s="33" t="s">
        <v>392</v>
      </c>
      <c r="C202" s="32"/>
      <c r="D202" s="18" t="s">
        <v>76</v>
      </c>
      <c r="E202" s="32" t="s">
        <v>1397</v>
      </c>
      <c r="F202" s="32" t="s">
        <v>1436</v>
      </c>
      <c r="G202" s="32" t="s">
        <v>1445</v>
      </c>
      <c r="H202" s="18" t="s">
        <v>1431</v>
      </c>
    </row>
    <row r="203" spans="1:8" x14ac:dyDescent="0.25">
      <c r="A203" s="36" t="s">
        <v>395</v>
      </c>
      <c r="B203" s="37" t="s">
        <v>394</v>
      </c>
      <c r="C203" s="36"/>
      <c r="D203" s="36" t="s">
        <v>13</v>
      </c>
      <c r="E203" s="36" t="s">
        <v>1393</v>
      </c>
      <c r="F203" s="36" t="s">
        <v>1440</v>
      </c>
      <c r="G203" s="36" t="s">
        <v>1424</v>
      </c>
      <c r="H203" s="36" t="s">
        <v>1432</v>
      </c>
    </row>
    <row r="204" spans="1:8" x14ac:dyDescent="0.25">
      <c r="A204" s="36" t="s">
        <v>397</v>
      </c>
      <c r="B204" s="37" t="s">
        <v>396</v>
      </c>
      <c r="C204" s="36"/>
      <c r="D204" s="36" t="s">
        <v>13</v>
      </c>
      <c r="E204" s="36" t="s">
        <v>1393</v>
      </c>
      <c r="F204" s="36" t="s">
        <v>1440</v>
      </c>
      <c r="G204" s="36" t="s">
        <v>1424</v>
      </c>
      <c r="H204" s="36" t="s">
        <v>1432</v>
      </c>
    </row>
    <row r="205" spans="1:8" x14ac:dyDescent="0.25">
      <c r="A205" s="25" t="s">
        <v>399</v>
      </c>
      <c r="B205" s="26" t="s">
        <v>398</v>
      </c>
      <c r="C205" s="25"/>
      <c r="D205" s="25" t="s">
        <v>29</v>
      </c>
      <c r="E205" s="25" t="s">
        <v>1394</v>
      </c>
      <c r="F205" s="25" t="s">
        <v>1441</v>
      </c>
      <c r="G205" s="25" t="s">
        <v>30</v>
      </c>
      <c r="H205" s="25" t="s">
        <v>1432</v>
      </c>
    </row>
    <row r="206" spans="1:8" x14ac:dyDescent="0.25">
      <c r="A206" s="36" t="s">
        <v>401</v>
      </c>
      <c r="B206" s="37" t="s">
        <v>400</v>
      </c>
      <c r="C206" s="36"/>
      <c r="D206" s="36" t="s">
        <v>36</v>
      </c>
      <c r="E206" s="36" t="s">
        <v>1395</v>
      </c>
      <c r="F206" s="25" t="s">
        <v>1441</v>
      </c>
      <c r="G206" s="25" t="s">
        <v>30</v>
      </c>
      <c r="H206" s="36" t="s">
        <v>1432</v>
      </c>
    </row>
    <row r="207" spans="1:8" x14ac:dyDescent="0.25">
      <c r="A207" s="20" t="s">
        <v>403</v>
      </c>
      <c r="B207" s="19" t="s">
        <v>402</v>
      </c>
      <c r="C207" s="20"/>
      <c r="D207" s="18" t="s">
        <v>7</v>
      </c>
      <c r="E207" s="18" t="s">
        <v>1391</v>
      </c>
      <c r="F207" s="18" t="s">
        <v>1439</v>
      </c>
      <c r="G207" s="18" t="s">
        <v>30</v>
      </c>
      <c r="H207" s="18" t="s">
        <v>1431</v>
      </c>
    </row>
    <row r="208" spans="1:8" x14ac:dyDescent="0.25">
      <c r="A208" s="25" t="s">
        <v>405</v>
      </c>
      <c r="B208" s="26" t="s">
        <v>404</v>
      </c>
      <c r="C208" s="25"/>
      <c r="D208" s="25" t="s">
        <v>55</v>
      </c>
      <c r="E208" s="25" t="s">
        <v>1388</v>
      </c>
      <c r="F208" s="32" t="s">
        <v>1437</v>
      </c>
      <c r="G208" s="25" t="s">
        <v>1423</v>
      </c>
      <c r="H208" s="25" t="s">
        <v>1430</v>
      </c>
    </row>
    <row r="209" spans="1:8" x14ac:dyDescent="0.25">
      <c r="A209" s="25" t="s">
        <v>407</v>
      </c>
      <c r="B209" s="26" t="s">
        <v>406</v>
      </c>
      <c r="C209" s="25"/>
      <c r="D209" s="25" t="s">
        <v>55</v>
      </c>
      <c r="E209" s="25" t="s">
        <v>1388</v>
      </c>
      <c r="F209" s="32" t="s">
        <v>1437</v>
      </c>
      <c r="G209" s="25" t="s">
        <v>1423</v>
      </c>
      <c r="H209" s="25" t="s">
        <v>1430</v>
      </c>
    </row>
    <row r="210" spans="1:8" x14ac:dyDescent="0.25">
      <c r="A210" s="32" t="s">
        <v>409</v>
      </c>
      <c r="B210" s="33" t="s">
        <v>408</v>
      </c>
      <c r="C210" s="32"/>
      <c r="D210" s="32" t="s">
        <v>48</v>
      </c>
      <c r="E210" s="32" t="s">
        <v>1387</v>
      </c>
      <c r="F210" s="32" t="s">
        <v>1437</v>
      </c>
      <c r="G210" s="32" t="s">
        <v>1422</v>
      </c>
      <c r="H210" s="32" t="s">
        <v>1430</v>
      </c>
    </row>
    <row r="211" spans="1:8" x14ac:dyDescent="0.25">
      <c r="A211" s="28" t="s">
        <v>411</v>
      </c>
      <c r="B211" s="29" t="s">
        <v>410</v>
      </c>
      <c r="C211" s="28"/>
      <c r="D211" s="28" t="s">
        <v>4</v>
      </c>
      <c r="E211" s="28" t="s">
        <v>1389</v>
      </c>
      <c r="F211" s="28" t="s">
        <v>1438</v>
      </c>
      <c r="G211" s="28" t="s">
        <v>1423</v>
      </c>
      <c r="H211" s="28" t="s">
        <v>1430</v>
      </c>
    </row>
    <row r="212" spans="1:8" x14ac:dyDescent="0.25">
      <c r="A212" s="23" t="s">
        <v>413</v>
      </c>
      <c r="B212" s="22" t="s">
        <v>412</v>
      </c>
      <c r="C212" s="23" t="s">
        <v>1399</v>
      </c>
      <c r="D212" s="23" t="s">
        <v>10</v>
      </c>
      <c r="E212" s="23" t="s">
        <v>1398</v>
      </c>
      <c r="F212" s="23" t="s">
        <v>1442</v>
      </c>
      <c r="G212" s="23" t="s">
        <v>1422</v>
      </c>
      <c r="H212" s="23" t="s">
        <v>1432</v>
      </c>
    </row>
    <row r="213" spans="1:8" x14ac:dyDescent="0.25">
      <c r="A213" s="32" t="s">
        <v>415</v>
      </c>
      <c r="B213" s="33" t="s">
        <v>414</v>
      </c>
      <c r="C213" s="32"/>
      <c r="D213" s="18" t="s">
        <v>76</v>
      </c>
      <c r="E213" s="32" t="s">
        <v>1397</v>
      </c>
      <c r="F213" s="32" t="s">
        <v>1436</v>
      </c>
      <c r="G213" s="32" t="s">
        <v>1445</v>
      </c>
      <c r="H213" s="18" t="s">
        <v>1431</v>
      </c>
    </row>
    <row r="214" spans="1:8" x14ac:dyDescent="0.25">
      <c r="A214" s="36" t="s">
        <v>417</v>
      </c>
      <c r="B214" s="37" t="s">
        <v>416</v>
      </c>
      <c r="C214" s="36" t="s">
        <v>126</v>
      </c>
      <c r="D214" s="36" t="s">
        <v>13</v>
      </c>
      <c r="E214" s="36" t="s">
        <v>1393</v>
      </c>
      <c r="F214" s="36" t="s">
        <v>1440</v>
      </c>
      <c r="G214" s="36" t="s">
        <v>1424</v>
      </c>
      <c r="H214" s="36" t="s">
        <v>1432</v>
      </c>
    </row>
    <row r="215" spans="1:8" x14ac:dyDescent="0.25">
      <c r="A215" s="36" t="s">
        <v>419</v>
      </c>
      <c r="B215" s="37" t="s">
        <v>418</v>
      </c>
      <c r="C215" s="36"/>
      <c r="D215" s="36" t="s">
        <v>13</v>
      </c>
      <c r="E215" s="36" t="s">
        <v>1393</v>
      </c>
      <c r="F215" s="36" t="s">
        <v>1440</v>
      </c>
      <c r="G215" s="36" t="s">
        <v>1424</v>
      </c>
      <c r="H215" s="36" t="s">
        <v>1432</v>
      </c>
    </row>
    <row r="216" spans="1:8" x14ac:dyDescent="0.25">
      <c r="A216" s="32" t="s">
        <v>421</v>
      </c>
      <c r="B216" s="33" t="s">
        <v>420</v>
      </c>
      <c r="C216" s="32"/>
      <c r="D216" s="18" t="s">
        <v>76</v>
      </c>
      <c r="E216" s="32" t="s">
        <v>1397</v>
      </c>
      <c r="F216" s="32" t="s">
        <v>1436</v>
      </c>
      <c r="G216" s="32" t="s">
        <v>1445</v>
      </c>
      <c r="H216" s="18" t="s">
        <v>1431</v>
      </c>
    </row>
    <row r="217" spans="1:8" x14ac:dyDescent="0.25">
      <c r="A217" s="25" t="s">
        <v>423</v>
      </c>
      <c r="B217" s="26" t="s">
        <v>422</v>
      </c>
      <c r="C217" s="25"/>
      <c r="D217" s="25" t="s">
        <v>7</v>
      </c>
      <c r="E217" s="25" t="s">
        <v>1391</v>
      </c>
      <c r="F217" s="18" t="s">
        <v>1439</v>
      </c>
      <c r="G217" s="18" t="s">
        <v>30</v>
      </c>
      <c r="H217" s="25" t="s">
        <v>1431</v>
      </c>
    </row>
    <row r="218" spans="1:8" x14ac:dyDescent="0.25">
      <c r="A218" s="32" t="s">
        <v>425</v>
      </c>
      <c r="B218" s="33" t="s">
        <v>424</v>
      </c>
      <c r="C218" s="32"/>
      <c r="D218" s="18" t="s">
        <v>76</v>
      </c>
      <c r="E218" s="32" t="s">
        <v>1397</v>
      </c>
      <c r="F218" s="32" t="s">
        <v>1436</v>
      </c>
      <c r="G218" s="32" t="s">
        <v>1445</v>
      </c>
      <c r="H218" s="18" t="s">
        <v>1431</v>
      </c>
    </row>
    <row r="219" spans="1:8" x14ac:dyDescent="0.25">
      <c r="A219" s="25" t="s">
        <v>427</v>
      </c>
      <c r="B219" s="26" t="s">
        <v>426</v>
      </c>
      <c r="C219" s="25"/>
      <c r="D219" s="25" t="s">
        <v>55</v>
      </c>
      <c r="E219" s="25" t="s">
        <v>1388</v>
      </c>
      <c r="F219" s="32" t="s">
        <v>1437</v>
      </c>
      <c r="G219" s="25" t="s">
        <v>1423</v>
      </c>
      <c r="H219" s="25" t="s">
        <v>1430</v>
      </c>
    </row>
    <row r="220" spans="1:8" x14ac:dyDescent="0.25">
      <c r="A220" s="32" t="s">
        <v>429</v>
      </c>
      <c r="B220" s="33" t="s">
        <v>428</v>
      </c>
      <c r="C220" s="32"/>
      <c r="D220" s="18" t="s">
        <v>76</v>
      </c>
      <c r="E220" s="32" t="s">
        <v>1397</v>
      </c>
      <c r="F220" s="32" t="s">
        <v>1436</v>
      </c>
      <c r="G220" s="32" t="s">
        <v>1445</v>
      </c>
      <c r="H220" s="18" t="s">
        <v>1431</v>
      </c>
    </row>
    <row r="221" spans="1:8" x14ac:dyDescent="0.25">
      <c r="A221" s="25" t="s">
        <v>431</v>
      </c>
      <c r="B221" s="26" t="s">
        <v>430</v>
      </c>
      <c r="C221" s="25"/>
      <c r="D221" s="25" t="s">
        <v>7</v>
      </c>
      <c r="E221" s="25" t="s">
        <v>1391</v>
      </c>
      <c r="F221" s="18" t="s">
        <v>1439</v>
      </c>
      <c r="G221" s="18" t="s">
        <v>30</v>
      </c>
      <c r="H221" s="25" t="s">
        <v>1431</v>
      </c>
    </row>
    <row r="222" spans="1:8" x14ac:dyDescent="0.25">
      <c r="A222" s="28" t="s">
        <v>433</v>
      </c>
      <c r="B222" s="29" t="s">
        <v>432</v>
      </c>
      <c r="C222" s="28" t="s">
        <v>21</v>
      </c>
      <c r="D222" s="28" t="s">
        <v>4</v>
      </c>
      <c r="E222" s="28" t="s">
        <v>1389</v>
      </c>
      <c r="F222" s="28" t="s">
        <v>1438</v>
      </c>
      <c r="G222" s="28" t="s">
        <v>1423</v>
      </c>
      <c r="H222" s="28" t="s">
        <v>1430</v>
      </c>
    </row>
    <row r="223" spans="1:8" x14ac:dyDescent="0.25">
      <c r="A223" s="25" t="s">
        <v>435</v>
      </c>
      <c r="B223" s="26" t="s">
        <v>434</v>
      </c>
      <c r="C223" s="25"/>
      <c r="D223" s="25" t="s">
        <v>55</v>
      </c>
      <c r="E223" s="25" t="s">
        <v>1388</v>
      </c>
      <c r="F223" s="32" t="s">
        <v>1437</v>
      </c>
      <c r="G223" s="25" t="s">
        <v>1423</v>
      </c>
      <c r="H223" s="25" t="s">
        <v>1430</v>
      </c>
    </row>
    <row r="224" spans="1:8" x14ac:dyDescent="0.25">
      <c r="A224" s="32" t="s">
        <v>437</v>
      </c>
      <c r="B224" s="33" t="s">
        <v>436</v>
      </c>
      <c r="C224" s="32" t="s">
        <v>175</v>
      </c>
      <c r="D224" s="32" t="s">
        <v>18</v>
      </c>
      <c r="E224" s="32" t="s">
        <v>1384</v>
      </c>
      <c r="F224" s="32" t="s">
        <v>1436</v>
      </c>
      <c r="G224" s="32" t="s">
        <v>1445</v>
      </c>
      <c r="H224" s="32" t="s">
        <v>1430</v>
      </c>
    </row>
    <row r="225" spans="1:8" x14ac:dyDescent="0.25">
      <c r="A225" s="32" t="s">
        <v>439</v>
      </c>
      <c r="B225" s="33" t="s">
        <v>438</v>
      </c>
      <c r="C225" s="32"/>
      <c r="D225" s="18" t="s">
        <v>76</v>
      </c>
      <c r="E225" s="32" t="s">
        <v>1397</v>
      </c>
      <c r="F225" s="32" t="s">
        <v>1436</v>
      </c>
      <c r="G225" s="32" t="s">
        <v>1445</v>
      </c>
      <c r="H225" s="18" t="s">
        <v>1431</v>
      </c>
    </row>
    <row r="226" spans="1:8" x14ac:dyDescent="0.25">
      <c r="A226" s="18" t="s">
        <v>1314</v>
      </c>
      <c r="B226" s="19" t="s">
        <v>440</v>
      </c>
      <c r="C226" s="18" t="s">
        <v>295</v>
      </c>
      <c r="D226" s="18" t="s">
        <v>26</v>
      </c>
      <c r="E226" s="18" t="s">
        <v>1390</v>
      </c>
      <c r="F226" s="18" t="s">
        <v>1444</v>
      </c>
      <c r="G226" s="18" t="s">
        <v>1429</v>
      </c>
      <c r="H226" s="18" t="s">
        <v>1431</v>
      </c>
    </row>
    <row r="227" spans="1:8" x14ac:dyDescent="0.25">
      <c r="A227" s="25" t="s">
        <v>442</v>
      </c>
      <c r="B227" s="26" t="s">
        <v>441</v>
      </c>
      <c r="C227" s="25"/>
      <c r="D227" s="25" t="s">
        <v>29</v>
      </c>
      <c r="E227" s="25" t="s">
        <v>1394</v>
      </c>
      <c r="F227" s="25" t="s">
        <v>1441</v>
      </c>
      <c r="G227" s="25" t="s">
        <v>30</v>
      </c>
      <c r="H227" s="25" t="s">
        <v>1432</v>
      </c>
    </row>
    <row r="228" spans="1:8" x14ac:dyDescent="0.25">
      <c r="A228" s="32" t="s">
        <v>444</v>
      </c>
      <c r="B228" s="33" t="s">
        <v>443</v>
      </c>
      <c r="C228" s="32"/>
      <c r="D228" s="32" t="s">
        <v>18</v>
      </c>
      <c r="E228" s="32" t="s">
        <v>1384</v>
      </c>
      <c r="F228" s="32" t="s">
        <v>1436</v>
      </c>
      <c r="G228" s="32" t="s">
        <v>1445</v>
      </c>
      <c r="H228" s="32" t="s">
        <v>1430</v>
      </c>
    </row>
    <row r="229" spans="1:8" x14ac:dyDescent="0.25">
      <c r="A229" s="32" t="s">
        <v>446</v>
      </c>
      <c r="B229" s="33" t="s">
        <v>445</v>
      </c>
      <c r="C229" s="32"/>
      <c r="D229" s="32" t="s">
        <v>18</v>
      </c>
      <c r="E229" s="32" t="s">
        <v>1384</v>
      </c>
      <c r="F229" s="32" t="s">
        <v>1436</v>
      </c>
      <c r="G229" s="32" t="s">
        <v>1445</v>
      </c>
      <c r="H229" s="32" t="s">
        <v>1430</v>
      </c>
    </row>
    <row r="230" spans="1:8" x14ac:dyDescent="0.25">
      <c r="A230" s="15" t="s">
        <v>1426</v>
      </c>
      <c r="B230" s="16" t="s">
        <v>1427</v>
      </c>
      <c r="C230" s="15"/>
      <c r="D230" s="15" t="s">
        <v>7</v>
      </c>
      <c r="E230" s="15" t="s">
        <v>1391</v>
      </c>
      <c r="F230" s="18" t="s">
        <v>1439</v>
      </c>
      <c r="G230" s="15" t="s">
        <v>1428</v>
      </c>
      <c r="H230" s="15" t="s">
        <v>1431</v>
      </c>
    </row>
    <row r="231" spans="1:8" x14ac:dyDescent="0.25">
      <c r="A231" s="25" t="s">
        <v>448</v>
      </c>
      <c r="B231" s="26" t="s">
        <v>447</v>
      </c>
      <c r="C231" s="25"/>
      <c r="D231" s="25" t="s">
        <v>197</v>
      </c>
      <c r="E231" s="25" t="s">
        <v>1403</v>
      </c>
      <c r="F231" s="25"/>
      <c r="G231" s="25" t="s">
        <v>30</v>
      </c>
      <c r="H231" s="25" t="s">
        <v>1431</v>
      </c>
    </row>
    <row r="232" spans="1:8" x14ac:dyDescent="0.25">
      <c r="A232" s="36" t="s">
        <v>450</v>
      </c>
      <c r="B232" s="37" t="s">
        <v>449</v>
      </c>
      <c r="C232" s="36"/>
      <c r="D232" s="36" t="s">
        <v>13</v>
      </c>
      <c r="E232" s="36" t="s">
        <v>1393</v>
      </c>
      <c r="F232" s="36" t="s">
        <v>1440</v>
      </c>
      <c r="G232" s="36" t="s">
        <v>1424</v>
      </c>
      <c r="H232" s="36" t="s">
        <v>1432</v>
      </c>
    </row>
    <row r="233" spans="1:8" x14ac:dyDescent="0.25">
      <c r="A233" s="25" t="s">
        <v>452</v>
      </c>
      <c r="B233" s="26" t="s">
        <v>451</v>
      </c>
      <c r="C233" s="25"/>
      <c r="D233" s="25" t="s">
        <v>29</v>
      </c>
      <c r="E233" s="25" t="s">
        <v>1394</v>
      </c>
      <c r="F233" s="25" t="s">
        <v>1441</v>
      </c>
      <c r="G233" s="25" t="s">
        <v>30</v>
      </c>
      <c r="H233" s="25" t="s">
        <v>1432</v>
      </c>
    </row>
    <row r="234" spans="1:8" x14ac:dyDescent="0.25">
      <c r="A234" s="28" t="s">
        <v>454</v>
      </c>
      <c r="B234" s="29" t="s">
        <v>453</v>
      </c>
      <c r="C234" s="28"/>
      <c r="D234" s="28" t="s">
        <v>136</v>
      </c>
      <c r="E234" s="28" t="s">
        <v>1386</v>
      </c>
      <c r="F234" s="32" t="s">
        <v>1437</v>
      </c>
      <c r="G234" s="32" t="s">
        <v>1422</v>
      </c>
      <c r="H234" s="28" t="s">
        <v>1430</v>
      </c>
    </row>
    <row r="235" spans="1:8" x14ac:dyDescent="0.25">
      <c r="A235" s="25" t="s">
        <v>456</v>
      </c>
      <c r="B235" s="26" t="s">
        <v>455</v>
      </c>
      <c r="C235" s="25"/>
      <c r="D235" s="25" t="s">
        <v>7</v>
      </c>
      <c r="E235" s="25" t="s">
        <v>1391</v>
      </c>
      <c r="F235" s="18" t="s">
        <v>1439</v>
      </c>
      <c r="G235" s="18" t="s">
        <v>30</v>
      </c>
      <c r="H235" s="25" t="s">
        <v>1431</v>
      </c>
    </row>
    <row r="236" spans="1:8" x14ac:dyDescent="0.25">
      <c r="A236" s="18" t="s">
        <v>458</v>
      </c>
      <c r="B236" s="19" t="s">
        <v>457</v>
      </c>
      <c r="C236" s="18"/>
      <c r="D236" s="18" t="s">
        <v>61</v>
      </c>
      <c r="E236" s="18" t="s">
        <v>1396</v>
      </c>
      <c r="F236" s="18" t="s">
        <v>1444</v>
      </c>
      <c r="G236" s="18" t="s">
        <v>1429</v>
      </c>
      <c r="H236" s="18" t="s">
        <v>1431</v>
      </c>
    </row>
    <row r="237" spans="1:8" x14ac:dyDescent="0.25">
      <c r="A237" s="25" t="s">
        <v>1315</v>
      </c>
      <c r="B237" s="26" t="s">
        <v>459</v>
      </c>
      <c r="C237" s="25"/>
      <c r="D237" s="25" t="s">
        <v>55</v>
      </c>
      <c r="E237" s="25" t="s">
        <v>1388</v>
      </c>
      <c r="F237" s="32" t="s">
        <v>1437</v>
      </c>
      <c r="G237" s="25" t="s">
        <v>1423</v>
      </c>
      <c r="H237" s="25" t="s">
        <v>1430</v>
      </c>
    </row>
    <row r="238" spans="1:8" x14ac:dyDescent="0.25">
      <c r="A238" s="18" t="s">
        <v>461</v>
      </c>
      <c r="B238" s="19" t="s">
        <v>460</v>
      </c>
      <c r="C238" s="18"/>
      <c r="D238" s="18" t="s">
        <v>61</v>
      </c>
      <c r="E238" s="18" t="s">
        <v>1396</v>
      </c>
      <c r="F238" s="18" t="s">
        <v>1444</v>
      </c>
      <c r="G238" s="18" t="s">
        <v>1429</v>
      </c>
      <c r="H238" s="18" t="s">
        <v>1431</v>
      </c>
    </row>
    <row r="239" spans="1:8" x14ac:dyDescent="0.25">
      <c r="A239" s="28" t="s">
        <v>463</v>
      </c>
      <c r="B239" s="29" t="s">
        <v>462</v>
      </c>
      <c r="C239" s="28"/>
      <c r="D239" s="31" t="s">
        <v>4</v>
      </c>
      <c r="E239" s="28" t="s">
        <v>1389</v>
      </c>
      <c r="F239" s="28" t="s">
        <v>1438</v>
      </c>
      <c r="G239" s="28" t="s">
        <v>1423</v>
      </c>
      <c r="H239" s="28" t="s">
        <v>1430</v>
      </c>
    </row>
    <row r="240" spans="1:8" x14ac:dyDescent="0.25">
      <c r="A240" s="18" t="s">
        <v>1316</v>
      </c>
      <c r="B240" s="19" t="s">
        <v>464</v>
      </c>
      <c r="C240" s="18"/>
      <c r="D240" s="18" t="s">
        <v>61</v>
      </c>
      <c r="E240" s="18" t="s">
        <v>1396</v>
      </c>
      <c r="F240" s="18" t="s">
        <v>1444</v>
      </c>
      <c r="G240" s="18" t="s">
        <v>1429</v>
      </c>
      <c r="H240" s="18" t="s">
        <v>1431</v>
      </c>
    </row>
    <row r="241" spans="1:8" x14ac:dyDescent="0.25">
      <c r="A241" s="32" t="s">
        <v>466</v>
      </c>
      <c r="B241" s="33" t="s">
        <v>465</v>
      </c>
      <c r="C241" s="32"/>
      <c r="D241" s="18" t="s">
        <v>76</v>
      </c>
      <c r="E241" s="32" t="s">
        <v>1397</v>
      </c>
      <c r="F241" s="32" t="s">
        <v>1436</v>
      </c>
      <c r="G241" s="32" t="s">
        <v>1445</v>
      </c>
      <c r="H241" s="18" t="s">
        <v>1431</v>
      </c>
    </row>
    <row r="242" spans="1:8" x14ac:dyDescent="0.25">
      <c r="A242" s="18" t="s">
        <v>1317</v>
      </c>
      <c r="B242" s="19" t="s">
        <v>467</v>
      </c>
      <c r="C242" s="18"/>
      <c r="D242" s="18" t="s">
        <v>61</v>
      </c>
      <c r="E242" s="18" t="s">
        <v>1396</v>
      </c>
      <c r="F242" s="18" t="s">
        <v>1444</v>
      </c>
      <c r="G242" s="18" t="s">
        <v>1429</v>
      </c>
      <c r="H242" s="18" t="s">
        <v>1431</v>
      </c>
    </row>
    <row r="243" spans="1:8" x14ac:dyDescent="0.25">
      <c r="A243" s="28" t="s">
        <v>469</v>
      </c>
      <c r="B243" s="29" t="s">
        <v>468</v>
      </c>
      <c r="C243" s="28"/>
      <c r="D243" s="28" t="s">
        <v>136</v>
      </c>
      <c r="E243" s="28" t="s">
        <v>1386</v>
      </c>
      <c r="F243" s="32" t="s">
        <v>1437</v>
      </c>
      <c r="G243" s="32" t="s">
        <v>1422</v>
      </c>
      <c r="H243" s="28" t="s">
        <v>1430</v>
      </c>
    </row>
    <row r="244" spans="1:8" x14ac:dyDescent="0.25">
      <c r="A244" s="32" t="s">
        <v>471</v>
      </c>
      <c r="B244" s="33" t="s">
        <v>470</v>
      </c>
      <c r="C244" s="32" t="s">
        <v>175</v>
      </c>
      <c r="D244" s="32" t="s">
        <v>18</v>
      </c>
      <c r="E244" s="32" t="s">
        <v>1384</v>
      </c>
      <c r="F244" s="32" t="s">
        <v>1436</v>
      </c>
      <c r="G244" s="32" t="s">
        <v>1445</v>
      </c>
      <c r="H244" s="32" t="s">
        <v>1430</v>
      </c>
    </row>
    <row r="245" spans="1:8" x14ac:dyDescent="0.25">
      <c r="A245" s="36" t="s">
        <v>473</v>
      </c>
      <c r="B245" s="37" t="s">
        <v>472</v>
      </c>
      <c r="C245" s="36"/>
      <c r="D245" s="36" t="s">
        <v>36</v>
      </c>
      <c r="E245" s="36" t="s">
        <v>1395</v>
      </c>
      <c r="F245" s="25" t="s">
        <v>1441</v>
      </c>
      <c r="G245" s="25" t="s">
        <v>30</v>
      </c>
      <c r="H245" s="36" t="s">
        <v>1432</v>
      </c>
    </row>
    <row r="246" spans="1:8" x14ac:dyDescent="0.25">
      <c r="A246" s="36" t="s">
        <v>475</v>
      </c>
      <c r="B246" s="37" t="s">
        <v>474</v>
      </c>
      <c r="C246" s="36"/>
      <c r="D246" s="36" t="s">
        <v>36</v>
      </c>
      <c r="E246" s="36" t="s">
        <v>1395</v>
      </c>
      <c r="F246" s="25" t="s">
        <v>1441</v>
      </c>
      <c r="G246" s="25" t="s">
        <v>30</v>
      </c>
      <c r="H246" s="36" t="s">
        <v>1432</v>
      </c>
    </row>
    <row r="247" spans="1:8" x14ac:dyDescent="0.25">
      <c r="A247" s="36" t="s">
        <v>477</v>
      </c>
      <c r="B247" s="37" t="s">
        <v>476</v>
      </c>
      <c r="C247" s="36"/>
      <c r="D247" s="36" t="s">
        <v>36</v>
      </c>
      <c r="E247" s="36" t="s">
        <v>1395</v>
      </c>
      <c r="F247" s="25" t="s">
        <v>1441</v>
      </c>
      <c r="G247" s="25" t="s">
        <v>30</v>
      </c>
      <c r="H247" s="36" t="s">
        <v>1432</v>
      </c>
    </row>
    <row r="248" spans="1:8" x14ac:dyDescent="0.25">
      <c r="A248" s="25" t="s">
        <v>479</v>
      </c>
      <c r="B248" s="26" t="s">
        <v>478</v>
      </c>
      <c r="C248" s="25"/>
      <c r="D248" s="25" t="s">
        <v>55</v>
      </c>
      <c r="E248" s="25" t="s">
        <v>1388</v>
      </c>
      <c r="F248" s="32" t="s">
        <v>1437</v>
      </c>
      <c r="G248" s="25" t="s">
        <v>1423</v>
      </c>
      <c r="H248" s="25" t="s">
        <v>1430</v>
      </c>
    </row>
    <row r="249" spans="1:8" x14ac:dyDescent="0.25">
      <c r="A249" s="21" t="s">
        <v>481</v>
      </c>
      <c r="B249" s="22" t="s">
        <v>480</v>
      </c>
      <c r="C249" s="21"/>
      <c r="D249" s="23" t="s">
        <v>10</v>
      </c>
      <c r="E249" s="23" t="s">
        <v>1398</v>
      </c>
      <c r="F249" s="23" t="s">
        <v>1442</v>
      </c>
      <c r="G249" s="23" t="s">
        <v>1422</v>
      </c>
      <c r="H249" s="23" t="s">
        <v>1432</v>
      </c>
    </row>
    <row r="250" spans="1:8" x14ac:dyDescent="0.25">
      <c r="A250" s="23" t="s">
        <v>483</v>
      </c>
      <c r="B250" s="22" t="s">
        <v>482</v>
      </c>
      <c r="C250" s="23" t="s">
        <v>1399</v>
      </c>
      <c r="D250" s="23" t="s">
        <v>10</v>
      </c>
      <c r="E250" s="23" t="s">
        <v>1398</v>
      </c>
      <c r="F250" s="23" t="s">
        <v>1442</v>
      </c>
      <c r="G250" s="23" t="s">
        <v>1422</v>
      </c>
      <c r="H250" s="23" t="s">
        <v>1432</v>
      </c>
    </row>
    <row r="251" spans="1:8" x14ac:dyDescent="0.25">
      <c r="A251" s="28" t="s">
        <v>485</v>
      </c>
      <c r="B251" s="29" t="s">
        <v>484</v>
      </c>
      <c r="C251" s="28"/>
      <c r="D251" s="28" t="s">
        <v>4</v>
      </c>
      <c r="E251" s="28" t="s">
        <v>1389</v>
      </c>
      <c r="F251" s="28" t="s">
        <v>1438</v>
      </c>
      <c r="G251" s="28" t="s">
        <v>1423</v>
      </c>
      <c r="H251" s="28" t="s">
        <v>1430</v>
      </c>
    </row>
    <row r="252" spans="1:8" x14ac:dyDescent="0.25">
      <c r="A252" s="25" t="s">
        <v>487</v>
      </c>
      <c r="B252" s="26" t="s">
        <v>486</v>
      </c>
      <c r="C252" s="25"/>
      <c r="D252" s="25" t="s">
        <v>55</v>
      </c>
      <c r="E252" s="25" t="s">
        <v>1388</v>
      </c>
      <c r="F252" s="32" t="s">
        <v>1437</v>
      </c>
      <c r="G252" s="25" t="s">
        <v>1423</v>
      </c>
      <c r="H252" s="25" t="s">
        <v>1430</v>
      </c>
    </row>
    <row r="253" spans="1:8" x14ac:dyDescent="0.25">
      <c r="A253" s="28" t="s">
        <v>489</v>
      </c>
      <c r="B253" s="29" t="s">
        <v>488</v>
      </c>
      <c r="C253" s="28" t="s">
        <v>1410</v>
      </c>
      <c r="D253" s="28" t="s">
        <v>4</v>
      </c>
      <c r="E253" s="28" t="s">
        <v>1389</v>
      </c>
      <c r="F253" s="28" t="s">
        <v>1438</v>
      </c>
      <c r="G253" s="28" t="s">
        <v>1423</v>
      </c>
      <c r="H253" s="28" t="s">
        <v>1430</v>
      </c>
    </row>
    <row r="254" spans="1:8" x14ac:dyDescent="0.25">
      <c r="A254" s="36" t="s">
        <v>491</v>
      </c>
      <c r="B254" s="37" t="s">
        <v>490</v>
      </c>
      <c r="C254" s="36"/>
      <c r="D254" s="36" t="s">
        <v>7</v>
      </c>
      <c r="E254" s="36" t="s">
        <v>1391</v>
      </c>
      <c r="F254" s="18" t="s">
        <v>1439</v>
      </c>
      <c r="G254" s="18" t="s">
        <v>30</v>
      </c>
      <c r="H254" s="36" t="s">
        <v>1432</v>
      </c>
    </row>
    <row r="255" spans="1:8" x14ac:dyDescent="0.25">
      <c r="A255" s="36" t="s">
        <v>493</v>
      </c>
      <c r="B255" s="37" t="s">
        <v>492</v>
      </c>
      <c r="C255" s="36" t="s">
        <v>126</v>
      </c>
      <c r="D255" s="36" t="s">
        <v>13</v>
      </c>
      <c r="E255" s="36" t="s">
        <v>1393</v>
      </c>
      <c r="F255" s="36" t="s">
        <v>1440</v>
      </c>
      <c r="G255" s="36" t="s">
        <v>1424</v>
      </c>
      <c r="H255" s="36" t="s">
        <v>1432</v>
      </c>
    </row>
    <row r="256" spans="1:8" x14ac:dyDescent="0.25">
      <c r="A256" s="25" t="s">
        <v>1318</v>
      </c>
      <c r="B256" s="26" t="s">
        <v>494</v>
      </c>
      <c r="C256" s="25"/>
      <c r="D256" s="25" t="s">
        <v>7</v>
      </c>
      <c r="E256" s="25" t="s">
        <v>1391</v>
      </c>
      <c r="F256" s="18" t="s">
        <v>1439</v>
      </c>
      <c r="G256" s="36" t="s">
        <v>1429</v>
      </c>
      <c r="H256" s="25" t="s">
        <v>1431</v>
      </c>
    </row>
    <row r="257" spans="1:8" x14ac:dyDescent="0.25">
      <c r="A257" s="36" t="s">
        <v>496</v>
      </c>
      <c r="B257" s="37" t="s">
        <v>495</v>
      </c>
      <c r="C257" s="36" t="s">
        <v>126</v>
      </c>
      <c r="D257" s="36" t="s">
        <v>13</v>
      </c>
      <c r="E257" s="36" t="s">
        <v>1393</v>
      </c>
      <c r="F257" s="36" t="s">
        <v>1440</v>
      </c>
      <c r="G257" s="36" t="s">
        <v>1424</v>
      </c>
      <c r="H257" s="36" t="s">
        <v>1432</v>
      </c>
    </row>
    <row r="258" spans="1:8" x14ac:dyDescent="0.25">
      <c r="A258" s="28" t="s">
        <v>498</v>
      </c>
      <c r="B258" s="29" t="s">
        <v>497</v>
      </c>
      <c r="C258" s="28"/>
      <c r="D258" s="28" t="s">
        <v>55</v>
      </c>
      <c r="E258" s="28" t="s">
        <v>1388</v>
      </c>
      <c r="F258" s="32" t="s">
        <v>1437</v>
      </c>
      <c r="G258" s="25" t="s">
        <v>1423</v>
      </c>
      <c r="H258" s="28" t="s">
        <v>1430</v>
      </c>
    </row>
    <row r="259" spans="1:8" x14ac:dyDescent="0.25">
      <c r="A259" s="25" t="s">
        <v>500</v>
      </c>
      <c r="B259" s="26" t="s">
        <v>499</v>
      </c>
      <c r="C259" s="25"/>
      <c r="D259" s="25" t="s">
        <v>7</v>
      </c>
      <c r="E259" s="25" t="s">
        <v>1391</v>
      </c>
      <c r="F259" s="18" t="s">
        <v>1439</v>
      </c>
      <c r="G259" s="18" t="s">
        <v>30</v>
      </c>
      <c r="H259" s="25" t="s">
        <v>1431</v>
      </c>
    </row>
    <row r="260" spans="1:8" x14ac:dyDescent="0.25">
      <c r="A260" s="28" t="s">
        <v>502</v>
      </c>
      <c r="B260" s="29" t="s">
        <v>501</v>
      </c>
      <c r="C260" s="28"/>
      <c r="D260" s="28" t="s">
        <v>136</v>
      </c>
      <c r="E260" s="28" t="s">
        <v>1386</v>
      </c>
      <c r="F260" s="32" t="s">
        <v>1437</v>
      </c>
      <c r="G260" s="32" t="s">
        <v>1422</v>
      </c>
      <c r="H260" s="28" t="s">
        <v>1430</v>
      </c>
    </row>
    <row r="261" spans="1:8" x14ac:dyDescent="0.25">
      <c r="A261" s="32" t="s">
        <v>504</v>
      </c>
      <c r="B261" s="33" t="s">
        <v>503</v>
      </c>
      <c r="C261" s="32"/>
      <c r="D261" s="32" t="s">
        <v>76</v>
      </c>
      <c r="E261" s="32" t="s">
        <v>1397</v>
      </c>
      <c r="F261" s="32" t="s">
        <v>1436</v>
      </c>
      <c r="G261" s="32" t="s">
        <v>1445</v>
      </c>
      <c r="H261" s="32" t="s">
        <v>1430</v>
      </c>
    </row>
    <row r="262" spans="1:8" x14ac:dyDescent="0.25">
      <c r="A262" s="36" t="s">
        <v>506</v>
      </c>
      <c r="B262" s="37" t="s">
        <v>505</v>
      </c>
      <c r="C262" s="36" t="s">
        <v>126</v>
      </c>
      <c r="D262" s="36" t="s">
        <v>13</v>
      </c>
      <c r="E262" s="36" t="s">
        <v>1393</v>
      </c>
      <c r="F262" s="36" t="s">
        <v>1440</v>
      </c>
      <c r="G262" s="36" t="s">
        <v>1424</v>
      </c>
      <c r="H262" s="36" t="s">
        <v>1432</v>
      </c>
    </row>
    <row r="263" spans="1:8" x14ac:dyDescent="0.25">
      <c r="A263" s="34" t="s">
        <v>508</v>
      </c>
      <c r="B263" s="33" t="s">
        <v>507</v>
      </c>
      <c r="C263" s="34" t="s">
        <v>509</v>
      </c>
      <c r="D263" s="32" t="s">
        <v>48</v>
      </c>
      <c r="E263" s="32" t="s">
        <v>1387</v>
      </c>
      <c r="F263" s="32" t="s">
        <v>1437</v>
      </c>
      <c r="G263" s="32" t="s">
        <v>1422</v>
      </c>
      <c r="H263" s="32" t="s">
        <v>1430</v>
      </c>
    </row>
    <row r="264" spans="1:8" x14ac:dyDescent="0.25">
      <c r="A264" s="36" t="s">
        <v>511</v>
      </c>
      <c r="B264" s="37" t="s">
        <v>510</v>
      </c>
      <c r="C264" s="36" t="s">
        <v>126</v>
      </c>
      <c r="D264" s="36" t="s">
        <v>13</v>
      </c>
      <c r="E264" s="36" t="s">
        <v>1393</v>
      </c>
      <c r="F264" s="36" t="s">
        <v>1440</v>
      </c>
      <c r="G264" s="36" t="s">
        <v>1424</v>
      </c>
      <c r="H264" s="36" t="s">
        <v>1432</v>
      </c>
    </row>
    <row r="265" spans="1:8" x14ac:dyDescent="0.25">
      <c r="A265" s="18" t="s">
        <v>513</v>
      </c>
      <c r="B265" s="19" t="s">
        <v>512</v>
      </c>
      <c r="C265" s="18" t="s">
        <v>514</v>
      </c>
      <c r="D265" s="18" t="s">
        <v>26</v>
      </c>
      <c r="E265" s="18" t="s">
        <v>1390</v>
      </c>
      <c r="F265" s="18" t="s">
        <v>1444</v>
      </c>
      <c r="G265" s="18" t="s">
        <v>1429</v>
      </c>
      <c r="H265" s="18" t="s">
        <v>1431</v>
      </c>
    </row>
    <row r="266" spans="1:8" x14ac:dyDescent="0.25">
      <c r="A266" s="28" t="s">
        <v>516</v>
      </c>
      <c r="B266" s="29" t="s">
        <v>515</v>
      </c>
      <c r="C266" s="28"/>
      <c r="D266" s="28" t="s">
        <v>4</v>
      </c>
      <c r="E266" s="28" t="s">
        <v>1389</v>
      </c>
      <c r="F266" s="28" t="s">
        <v>1438</v>
      </c>
      <c r="G266" s="28" t="s">
        <v>1423</v>
      </c>
      <c r="H266" s="28" t="s">
        <v>1430</v>
      </c>
    </row>
    <row r="267" spans="1:8" x14ac:dyDescent="0.25">
      <c r="A267" s="32" t="s">
        <v>518</v>
      </c>
      <c r="B267" s="33" t="s">
        <v>517</v>
      </c>
      <c r="C267" s="32"/>
      <c r="D267" s="32" t="s">
        <v>48</v>
      </c>
      <c r="E267" s="32" t="s">
        <v>1387</v>
      </c>
      <c r="F267" s="32" t="s">
        <v>1437</v>
      </c>
      <c r="G267" s="32" t="s">
        <v>1422</v>
      </c>
      <c r="H267" s="32" t="s">
        <v>1430</v>
      </c>
    </row>
    <row r="268" spans="1:8" x14ac:dyDescent="0.25">
      <c r="A268" s="18" t="s">
        <v>1319</v>
      </c>
      <c r="B268" s="19" t="s">
        <v>519</v>
      </c>
      <c r="C268" s="18" t="s">
        <v>1409</v>
      </c>
      <c r="D268" s="18" t="s">
        <v>61</v>
      </c>
      <c r="E268" s="18" t="s">
        <v>1396</v>
      </c>
      <c r="F268" s="18" t="s">
        <v>1444</v>
      </c>
      <c r="G268" s="18" t="s">
        <v>1429</v>
      </c>
      <c r="H268" s="18" t="s">
        <v>1431</v>
      </c>
    </row>
    <row r="269" spans="1:8" x14ac:dyDescent="0.25">
      <c r="A269" s="25" t="s">
        <v>521</v>
      </c>
      <c r="B269" s="26" t="s">
        <v>520</v>
      </c>
      <c r="C269" s="25"/>
      <c r="D269" s="25" t="s">
        <v>55</v>
      </c>
      <c r="E269" s="25" t="s">
        <v>1388</v>
      </c>
      <c r="F269" s="32" t="s">
        <v>1437</v>
      </c>
      <c r="G269" s="25" t="s">
        <v>1423</v>
      </c>
      <c r="H269" s="25" t="s">
        <v>1430</v>
      </c>
    </row>
    <row r="270" spans="1:8" x14ac:dyDescent="0.25">
      <c r="A270" s="36" t="s">
        <v>523</v>
      </c>
      <c r="B270" s="37" t="s">
        <v>522</v>
      </c>
      <c r="C270" s="36" t="s">
        <v>1404</v>
      </c>
      <c r="D270" s="36" t="s">
        <v>13</v>
      </c>
      <c r="E270" s="36" t="s">
        <v>1393</v>
      </c>
      <c r="F270" s="36" t="s">
        <v>1440</v>
      </c>
      <c r="G270" s="36" t="s">
        <v>1424</v>
      </c>
      <c r="H270" s="36" t="s">
        <v>1432</v>
      </c>
    </row>
    <row r="271" spans="1:8" x14ac:dyDescent="0.25">
      <c r="A271" s="25" t="s">
        <v>525</v>
      </c>
      <c r="B271" s="26" t="s">
        <v>524</v>
      </c>
      <c r="C271" s="25"/>
      <c r="D271" s="25" t="s">
        <v>7</v>
      </c>
      <c r="E271" s="25" t="s">
        <v>1391</v>
      </c>
      <c r="F271" s="18" t="s">
        <v>1439</v>
      </c>
      <c r="G271" s="18" t="s">
        <v>30</v>
      </c>
      <c r="H271" s="25" t="s">
        <v>1431</v>
      </c>
    </row>
    <row r="272" spans="1:8" x14ac:dyDescent="0.25">
      <c r="A272" s="36" t="s">
        <v>527</v>
      </c>
      <c r="B272" s="37" t="s">
        <v>526</v>
      </c>
      <c r="C272" s="36"/>
      <c r="D272" s="36" t="s">
        <v>13</v>
      </c>
      <c r="E272" s="36" t="s">
        <v>1393</v>
      </c>
      <c r="F272" s="36" t="s">
        <v>1440</v>
      </c>
      <c r="G272" s="36" t="s">
        <v>1424</v>
      </c>
      <c r="H272" s="36" t="s">
        <v>1432</v>
      </c>
    </row>
    <row r="273" spans="1:8" x14ac:dyDescent="0.25">
      <c r="A273" s="36" t="s">
        <v>529</v>
      </c>
      <c r="B273" s="37" t="s">
        <v>528</v>
      </c>
      <c r="C273" s="36" t="s">
        <v>1413</v>
      </c>
      <c r="D273" s="36" t="s">
        <v>36</v>
      </c>
      <c r="E273" s="36" t="s">
        <v>1395</v>
      </c>
      <c r="F273" s="25" t="s">
        <v>1441</v>
      </c>
      <c r="G273" s="25" t="s">
        <v>30</v>
      </c>
      <c r="H273" s="36" t="s">
        <v>1432</v>
      </c>
    </row>
    <row r="274" spans="1:8" x14ac:dyDescent="0.25">
      <c r="A274" s="23" t="s">
        <v>531</v>
      </c>
      <c r="B274" s="22" t="s">
        <v>530</v>
      </c>
      <c r="C274" s="23"/>
      <c r="D274" s="23" t="s">
        <v>10</v>
      </c>
      <c r="E274" s="23" t="s">
        <v>1398</v>
      </c>
      <c r="F274" s="23" t="s">
        <v>1442</v>
      </c>
      <c r="G274" s="23" t="s">
        <v>1443</v>
      </c>
      <c r="H274" s="23" t="s">
        <v>1432</v>
      </c>
    </row>
    <row r="275" spans="1:8" x14ac:dyDescent="0.25">
      <c r="A275" s="25" t="s">
        <v>533</v>
      </c>
      <c r="B275" s="26" t="s">
        <v>532</v>
      </c>
      <c r="C275" s="25"/>
      <c r="D275" s="25" t="s">
        <v>29</v>
      </c>
      <c r="E275" s="25" t="s">
        <v>1394</v>
      </c>
      <c r="F275" s="25" t="s">
        <v>1441</v>
      </c>
      <c r="G275" s="25" t="s">
        <v>30</v>
      </c>
      <c r="H275" s="25" t="s">
        <v>1432</v>
      </c>
    </row>
    <row r="276" spans="1:8" x14ac:dyDescent="0.25">
      <c r="A276" s="25" t="s">
        <v>535</v>
      </c>
      <c r="B276" s="26" t="s">
        <v>534</v>
      </c>
      <c r="C276" s="25" t="s">
        <v>536</v>
      </c>
      <c r="D276" s="25" t="s">
        <v>7</v>
      </c>
      <c r="E276" s="25" t="s">
        <v>1391</v>
      </c>
      <c r="F276" s="18" t="s">
        <v>1439</v>
      </c>
      <c r="G276" s="18" t="s">
        <v>30</v>
      </c>
      <c r="H276" s="25" t="s">
        <v>1431</v>
      </c>
    </row>
    <row r="277" spans="1:8" x14ac:dyDescent="0.25">
      <c r="A277" s="25" t="s">
        <v>538</v>
      </c>
      <c r="B277" s="26" t="s">
        <v>537</v>
      </c>
      <c r="C277" s="25"/>
      <c r="D277" s="25" t="s">
        <v>7</v>
      </c>
      <c r="E277" s="25" t="s">
        <v>1391</v>
      </c>
      <c r="F277" s="18" t="s">
        <v>1439</v>
      </c>
      <c r="G277" s="18" t="s">
        <v>30</v>
      </c>
      <c r="H277" s="25" t="s">
        <v>1431</v>
      </c>
    </row>
    <row r="278" spans="1:8" x14ac:dyDescent="0.25">
      <c r="A278" s="36" t="s">
        <v>540</v>
      </c>
      <c r="B278" s="37" t="s">
        <v>539</v>
      </c>
      <c r="C278" s="36"/>
      <c r="D278" s="36" t="s">
        <v>13</v>
      </c>
      <c r="E278" s="36" t="s">
        <v>1393</v>
      </c>
      <c r="F278" s="36" t="s">
        <v>1440</v>
      </c>
      <c r="G278" s="36" t="s">
        <v>1424</v>
      </c>
      <c r="H278" s="36" t="s">
        <v>1432</v>
      </c>
    </row>
    <row r="279" spans="1:8" x14ac:dyDescent="0.25">
      <c r="A279" s="25" t="s">
        <v>542</v>
      </c>
      <c r="B279" s="26" t="s">
        <v>541</v>
      </c>
      <c r="C279" s="25"/>
      <c r="D279" s="25" t="s">
        <v>7</v>
      </c>
      <c r="E279" s="25" t="s">
        <v>1391</v>
      </c>
      <c r="F279" s="18" t="s">
        <v>1439</v>
      </c>
      <c r="G279" s="18" t="s">
        <v>30</v>
      </c>
      <c r="H279" s="25" t="s">
        <v>1431</v>
      </c>
    </row>
    <row r="280" spans="1:8" x14ac:dyDescent="0.25">
      <c r="A280" s="18" t="s">
        <v>544</v>
      </c>
      <c r="B280" s="19" t="s">
        <v>543</v>
      </c>
      <c r="C280" s="18"/>
      <c r="D280" s="18" t="s">
        <v>61</v>
      </c>
      <c r="E280" s="18" t="s">
        <v>1396</v>
      </c>
      <c r="F280" s="18" t="s">
        <v>1444</v>
      </c>
      <c r="G280" s="18" t="s">
        <v>1429</v>
      </c>
      <c r="H280" s="18" t="s">
        <v>1431</v>
      </c>
    </row>
    <row r="281" spans="1:8" x14ac:dyDescent="0.25">
      <c r="A281" s="25" t="s">
        <v>546</v>
      </c>
      <c r="B281" s="26" t="s">
        <v>545</v>
      </c>
      <c r="C281" s="25"/>
      <c r="D281" s="25" t="s">
        <v>7</v>
      </c>
      <c r="E281" s="25" t="s">
        <v>1391</v>
      </c>
      <c r="F281" s="18" t="s">
        <v>1439</v>
      </c>
      <c r="G281" s="18" t="s">
        <v>30</v>
      </c>
      <c r="H281" s="25" t="s">
        <v>1431</v>
      </c>
    </row>
    <row r="282" spans="1:8" x14ac:dyDescent="0.25">
      <c r="A282" s="28" t="s">
        <v>548</v>
      </c>
      <c r="B282" s="29" t="s">
        <v>547</v>
      </c>
      <c r="C282" s="28" t="s">
        <v>21</v>
      </c>
      <c r="D282" s="28" t="s">
        <v>4</v>
      </c>
      <c r="E282" s="28" t="s">
        <v>1389</v>
      </c>
      <c r="F282" s="28" t="s">
        <v>1438</v>
      </c>
      <c r="G282" s="28" t="s">
        <v>1423</v>
      </c>
      <c r="H282" s="28" t="s">
        <v>1430</v>
      </c>
    </row>
    <row r="283" spans="1:8" x14ac:dyDescent="0.25">
      <c r="A283" s="25" t="s">
        <v>550</v>
      </c>
      <c r="B283" s="26" t="s">
        <v>549</v>
      </c>
      <c r="C283" s="25"/>
      <c r="D283" s="25" t="s">
        <v>29</v>
      </c>
      <c r="E283" s="25" t="s">
        <v>1394</v>
      </c>
      <c r="F283" s="25" t="s">
        <v>1441</v>
      </c>
      <c r="G283" s="25" t="s">
        <v>30</v>
      </c>
      <c r="H283" s="25" t="s">
        <v>1432</v>
      </c>
    </row>
    <row r="284" spans="1:8" x14ac:dyDescent="0.25">
      <c r="A284" s="36" t="s">
        <v>552</v>
      </c>
      <c r="B284" s="37" t="s">
        <v>551</v>
      </c>
      <c r="C284" s="36"/>
      <c r="D284" s="36" t="s">
        <v>13</v>
      </c>
      <c r="E284" s="36" t="s">
        <v>1393</v>
      </c>
      <c r="F284" s="36" t="s">
        <v>1440</v>
      </c>
      <c r="G284" s="36" t="s">
        <v>1424</v>
      </c>
      <c r="H284" s="36" t="s">
        <v>1432</v>
      </c>
    </row>
    <row r="285" spans="1:8" x14ac:dyDescent="0.25">
      <c r="A285" s="25" t="s">
        <v>554</v>
      </c>
      <c r="B285" s="26" t="s">
        <v>553</v>
      </c>
      <c r="C285" s="25"/>
      <c r="D285" s="25" t="s">
        <v>55</v>
      </c>
      <c r="E285" s="25" t="s">
        <v>1388</v>
      </c>
      <c r="F285" s="32" t="s">
        <v>1437</v>
      </c>
      <c r="G285" s="25" t="s">
        <v>1423</v>
      </c>
      <c r="H285" s="25" t="s">
        <v>1430</v>
      </c>
    </row>
    <row r="286" spans="1:8" x14ac:dyDescent="0.25">
      <c r="A286" s="18" t="s">
        <v>556</v>
      </c>
      <c r="B286" s="19" t="s">
        <v>555</v>
      </c>
      <c r="C286" s="18"/>
      <c r="D286" s="18" t="s">
        <v>61</v>
      </c>
      <c r="E286" s="18" t="s">
        <v>1396</v>
      </c>
      <c r="F286" s="18" t="s">
        <v>1444</v>
      </c>
      <c r="G286" s="18" t="s">
        <v>1429</v>
      </c>
      <c r="H286" s="18" t="s">
        <v>1431</v>
      </c>
    </row>
    <row r="287" spans="1:8" x14ac:dyDescent="0.25">
      <c r="A287" s="32" t="s">
        <v>558</v>
      </c>
      <c r="B287" s="33" t="s">
        <v>557</v>
      </c>
      <c r="C287" s="32"/>
      <c r="D287" s="32" t="s">
        <v>48</v>
      </c>
      <c r="E287" s="32" t="s">
        <v>1387</v>
      </c>
      <c r="F287" s="32" t="s">
        <v>1437</v>
      </c>
      <c r="G287" s="32" t="s">
        <v>1422</v>
      </c>
      <c r="H287" s="32" t="s">
        <v>1430</v>
      </c>
    </row>
    <row r="288" spans="1:8" x14ac:dyDescent="0.25">
      <c r="A288" s="28" t="s">
        <v>1320</v>
      </c>
      <c r="B288" s="29" t="s">
        <v>559</v>
      </c>
      <c r="C288" s="28"/>
      <c r="D288" s="28" t="s">
        <v>4</v>
      </c>
      <c r="E288" s="28" t="s">
        <v>1389</v>
      </c>
      <c r="F288" s="28" t="s">
        <v>1438</v>
      </c>
      <c r="G288" s="28" t="s">
        <v>1423</v>
      </c>
      <c r="H288" s="28" t="s">
        <v>1430</v>
      </c>
    </row>
    <row r="289" spans="1:8" x14ac:dyDescent="0.25">
      <c r="A289" s="28" t="s">
        <v>561</v>
      </c>
      <c r="B289" s="29" t="s">
        <v>560</v>
      </c>
      <c r="C289" s="28" t="s">
        <v>1405</v>
      </c>
      <c r="D289" s="28" t="s">
        <v>4</v>
      </c>
      <c r="E289" s="28" t="s">
        <v>1389</v>
      </c>
      <c r="F289" s="28" t="s">
        <v>1438</v>
      </c>
      <c r="G289" s="28" t="s">
        <v>1423</v>
      </c>
      <c r="H289" s="28" t="s">
        <v>1430</v>
      </c>
    </row>
    <row r="290" spans="1:8" x14ac:dyDescent="0.25">
      <c r="A290" s="18" t="s">
        <v>563</v>
      </c>
      <c r="B290" s="19" t="s">
        <v>562</v>
      </c>
      <c r="C290" s="18"/>
      <c r="D290" s="18" t="s">
        <v>26</v>
      </c>
      <c r="E290" s="18" t="s">
        <v>1390</v>
      </c>
      <c r="F290" s="18" t="s">
        <v>1444</v>
      </c>
      <c r="G290" s="18" t="s">
        <v>1429</v>
      </c>
      <c r="H290" s="18" t="s">
        <v>1431</v>
      </c>
    </row>
    <row r="291" spans="1:8" x14ac:dyDescent="0.25">
      <c r="A291" s="28" t="s">
        <v>565</v>
      </c>
      <c r="B291" s="29" t="s">
        <v>564</v>
      </c>
      <c r="C291" s="28" t="s">
        <v>21</v>
      </c>
      <c r="D291" s="28" t="s">
        <v>4</v>
      </c>
      <c r="E291" s="28" t="s">
        <v>1389</v>
      </c>
      <c r="F291" s="28" t="s">
        <v>1438</v>
      </c>
      <c r="G291" s="28" t="s">
        <v>1423</v>
      </c>
      <c r="H291" s="28" t="s">
        <v>1430</v>
      </c>
    </row>
    <row r="292" spans="1:8" x14ac:dyDescent="0.25">
      <c r="A292" s="18" t="s">
        <v>567</v>
      </c>
      <c r="B292" s="19" t="s">
        <v>566</v>
      </c>
      <c r="C292" s="18" t="s">
        <v>242</v>
      </c>
      <c r="D292" s="18" t="s">
        <v>26</v>
      </c>
      <c r="E292" s="18" t="s">
        <v>1390</v>
      </c>
      <c r="F292" s="18" t="s">
        <v>1444</v>
      </c>
      <c r="G292" s="18" t="s">
        <v>1429</v>
      </c>
      <c r="H292" s="18" t="s">
        <v>1431</v>
      </c>
    </row>
    <row r="293" spans="1:8" x14ac:dyDescent="0.25">
      <c r="A293" s="36" t="s">
        <v>569</v>
      </c>
      <c r="B293" s="37" t="s">
        <v>568</v>
      </c>
      <c r="C293" s="36" t="s">
        <v>1413</v>
      </c>
      <c r="D293" s="36" t="s">
        <v>36</v>
      </c>
      <c r="E293" s="36" t="s">
        <v>1395</v>
      </c>
      <c r="F293" s="25" t="s">
        <v>1441</v>
      </c>
      <c r="G293" s="25" t="s">
        <v>30</v>
      </c>
      <c r="H293" s="36" t="s">
        <v>1432</v>
      </c>
    </row>
    <row r="294" spans="1:8" x14ac:dyDescent="0.25">
      <c r="A294" s="30" t="s">
        <v>573</v>
      </c>
      <c r="B294" s="29" t="s">
        <v>572</v>
      </c>
      <c r="C294" s="30"/>
      <c r="D294" s="28" t="s">
        <v>4</v>
      </c>
      <c r="E294" s="28" t="s">
        <v>1389</v>
      </c>
      <c r="F294" s="28" t="s">
        <v>1438</v>
      </c>
      <c r="G294" s="28" t="s">
        <v>1423</v>
      </c>
      <c r="H294" s="28" t="s">
        <v>1430</v>
      </c>
    </row>
    <row r="295" spans="1:8" x14ac:dyDescent="0.25">
      <c r="A295" s="28" t="s">
        <v>571</v>
      </c>
      <c r="B295" s="29" t="s">
        <v>570</v>
      </c>
      <c r="C295" s="28" t="s">
        <v>21</v>
      </c>
      <c r="D295" s="28" t="s">
        <v>4</v>
      </c>
      <c r="E295" s="28" t="s">
        <v>1389</v>
      </c>
      <c r="F295" s="28" t="s">
        <v>1438</v>
      </c>
      <c r="G295" s="28" t="s">
        <v>1423</v>
      </c>
      <c r="H295" s="28" t="s">
        <v>1430</v>
      </c>
    </row>
    <row r="296" spans="1:8" x14ac:dyDescent="0.25">
      <c r="A296" s="18" t="s">
        <v>575</v>
      </c>
      <c r="B296" s="19" t="s">
        <v>574</v>
      </c>
      <c r="C296" s="18" t="s">
        <v>242</v>
      </c>
      <c r="D296" s="18" t="s">
        <v>26</v>
      </c>
      <c r="E296" s="18" t="s">
        <v>1390</v>
      </c>
      <c r="F296" s="18" t="s">
        <v>1444</v>
      </c>
      <c r="G296" s="18" t="s">
        <v>1429</v>
      </c>
      <c r="H296" s="18" t="s">
        <v>1431</v>
      </c>
    </row>
    <row r="297" spans="1:8" x14ac:dyDescent="0.25">
      <c r="A297" s="32" t="s">
        <v>577</v>
      </c>
      <c r="B297" s="33" t="s">
        <v>576</v>
      </c>
      <c r="C297" s="32"/>
      <c r="D297" s="18" t="s">
        <v>76</v>
      </c>
      <c r="E297" s="32" t="s">
        <v>1397</v>
      </c>
      <c r="F297" s="32" t="s">
        <v>1436</v>
      </c>
      <c r="G297" s="32" t="s">
        <v>1445</v>
      </c>
      <c r="H297" s="18" t="s">
        <v>1431</v>
      </c>
    </row>
    <row r="298" spans="1:8" x14ac:dyDescent="0.25">
      <c r="A298" s="25" t="s">
        <v>579</v>
      </c>
      <c r="B298" s="26" t="s">
        <v>578</v>
      </c>
      <c r="C298" s="25"/>
      <c r="D298" s="25" t="s">
        <v>7</v>
      </c>
      <c r="E298" s="25" t="s">
        <v>1391</v>
      </c>
      <c r="F298" s="18" t="s">
        <v>1439</v>
      </c>
      <c r="G298" s="18" t="s">
        <v>30</v>
      </c>
      <c r="H298" s="25" t="s">
        <v>1431</v>
      </c>
    </row>
    <row r="299" spans="1:8" x14ac:dyDescent="0.25">
      <c r="A299" s="28" t="s">
        <v>581</v>
      </c>
      <c r="B299" s="29" t="s">
        <v>580</v>
      </c>
      <c r="C299" s="28"/>
      <c r="D299" s="28" t="s">
        <v>4</v>
      </c>
      <c r="E299" s="28" t="s">
        <v>1389</v>
      </c>
      <c r="F299" s="28" t="s">
        <v>1438</v>
      </c>
      <c r="G299" s="28" t="s">
        <v>1423</v>
      </c>
      <c r="H299" s="28" t="s">
        <v>1430</v>
      </c>
    </row>
    <row r="300" spans="1:8" x14ac:dyDescent="0.25">
      <c r="A300" s="25" t="s">
        <v>583</v>
      </c>
      <c r="B300" s="26" t="s">
        <v>582</v>
      </c>
      <c r="C300" s="25"/>
      <c r="D300" s="25" t="s">
        <v>7</v>
      </c>
      <c r="E300" s="25" t="s">
        <v>1391</v>
      </c>
      <c r="F300" s="18" t="s">
        <v>1439</v>
      </c>
      <c r="G300" s="18" t="s">
        <v>30</v>
      </c>
      <c r="H300" s="25" t="s">
        <v>1431</v>
      </c>
    </row>
    <row r="301" spans="1:8" x14ac:dyDescent="0.25">
      <c r="A301" s="32" t="s">
        <v>1321</v>
      </c>
      <c r="B301" s="33" t="s">
        <v>584</v>
      </c>
      <c r="C301" s="32" t="s">
        <v>1407</v>
      </c>
      <c r="D301" s="32" t="s">
        <v>76</v>
      </c>
      <c r="E301" s="32" t="s">
        <v>1385</v>
      </c>
      <c r="F301" s="32" t="s">
        <v>1436</v>
      </c>
      <c r="G301" s="32" t="s">
        <v>1445</v>
      </c>
      <c r="H301" s="32" t="s">
        <v>1430</v>
      </c>
    </row>
    <row r="302" spans="1:8" x14ac:dyDescent="0.25">
      <c r="A302" s="18" t="s">
        <v>586</v>
      </c>
      <c r="B302" s="19" t="s">
        <v>585</v>
      </c>
      <c r="C302" s="18" t="s">
        <v>587</v>
      </c>
      <c r="D302" s="18" t="s">
        <v>26</v>
      </c>
      <c r="E302" s="18" t="s">
        <v>1390</v>
      </c>
      <c r="F302" s="18" t="s">
        <v>1444</v>
      </c>
      <c r="G302" s="18" t="s">
        <v>1429</v>
      </c>
      <c r="H302" s="18" t="s">
        <v>1431</v>
      </c>
    </row>
    <row r="303" spans="1:8" x14ac:dyDescent="0.25">
      <c r="A303" s="27" t="s">
        <v>589</v>
      </c>
      <c r="B303" s="26" t="s">
        <v>588</v>
      </c>
      <c r="C303" s="27"/>
      <c r="D303" s="25" t="s">
        <v>29</v>
      </c>
      <c r="E303" s="25" t="s">
        <v>1394</v>
      </c>
      <c r="F303" s="25" t="s">
        <v>1441</v>
      </c>
      <c r="G303" s="25" t="s">
        <v>30</v>
      </c>
      <c r="H303" s="25" t="s">
        <v>1432</v>
      </c>
    </row>
    <row r="304" spans="1:8" x14ac:dyDescent="0.25">
      <c r="A304" s="18" t="s">
        <v>1322</v>
      </c>
      <c r="B304" s="19" t="s">
        <v>590</v>
      </c>
      <c r="C304" s="18" t="s">
        <v>225</v>
      </c>
      <c r="D304" s="18" t="s">
        <v>26</v>
      </c>
      <c r="E304" s="18" t="s">
        <v>1390</v>
      </c>
      <c r="F304" s="18" t="s">
        <v>1444</v>
      </c>
      <c r="G304" s="18" t="s">
        <v>1429</v>
      </c>
      <c r="H304" s="18" t="s">
        <v>1431</v>
      </c>
    </row>
    <row r="305" spans="1:8" x14ac:dyDescent="0.25">
      <c r="A305" s="25" t="s">
        <v>592</v>
      </c>
      <c r="B305" s="26" t="s">
        <v>591</v>
      </c>
      <c r="C305" s="25"/>
      <c r="D305" s="25" t="s">
        <v>7</v>
      </c>
      <c r="E305" s="25" t="s">
        <v>1391</v>
      </c>
      <c r="F305" s="18" t="s">
        <v>1439</v>
      </c>
      <c r="G305" s="18" t="s">
        <v>30</v>
      </c>
      <c r="H305" s="25" t="s">
        <v>1431</v>
      </c>
    </row>
    <row r="306" spans="1:8" x14ac:dyDescent="0.25">
      <c r="A306" s="36" t="s">
        <v>594</v>
      </c>
      <c r="B306" s="37" t="s">
        <v>593</v>
      </c>
      <c r="C306" s="36"/>
      <c r="D306" s="36" t="s">
        <v>13</v>
      </c>
      <c r="E306" s="36" t="s">
        <v>1393</v>
      </c>
      <c r="F306" s="36" t="s">
        <v>1440</v>
      </c>
      <c r="G306" s="36" t="s">
        <v>1424</v>
      </c>
      <c r="H306" s="36" t="s">
        <v>1432</v>
      </c>
    </row>
    <row r="307" spans="1:8" x14ac:dyDescent="0.25">
      <c r="A307" s="36" t="s">
        <v>596</v>
      </c>
      <c r="B307" s="37" t="s">
        <v>595</v>
      </c>
      <c r="C307" s="36" t="s">
        <v>126</v>
      </c>
      <c r="D307" s="36" t="s">
        <v>13</v>
      </c>
      <c r="E307" s="36" t="s">
        <v>1393</v>
      </c>
      <c r="F307" s="36" t="s">
        <v>1440</v>
      </c>
      <c r="G307" s="36" t="s">
        <v>1424</v>
      </c>
      <c r="H307" s="36" t="s">
        <v>1432</v>
      </c>
    </row>
    <row r="308" spans="1:8" x14ac:dyDescent="0.25">
      <c r="A308" s="23" t="s">
        <v>687</v>
      </c>
      <c r="B308" s="22" t="s">
        <v>686</v>
      </c>
      <c r="C308" s="23"/>
      <c r="D308" s="23" t="s">
        <v>10</v>
      </c>
      <c r="E308" s="23" t="s">
        <v>1398</v>
      </c>
      <c r="F308" s="23" t="s">
        <v>1442</v>
      </c>
      <c r="G308" s="23" t="s">
        <v>1443</v>
      </c>
      <c r="H308" s="23" t="s">
        <v>1432</v>
      </c>
    </row>
    <row r="309" spans="1:8" x14ac:dyDescent="0.25">
      <c r="A309" s="25" t="s">
        <v>1323</v>
      </c>
      <c r="B309" s="26" t="s">
        <v>597</v>
      </c>
      <c r="C309" s="25"/>
      <c r="D309" s="25" t="s">
        <v>7</v>
      </c>
      <c r="E309" s="25" t="s">
        <v>1391</v>
      </c>
      <c r="F309" s="18" t="s">
        <v>1439</v>
      </c>
      <c r="G309" s="36" t="s">
        <v>1429</v>
      </c>
      <c r="H309" s="25" t="s">
        <v>1431</v>
      </c>
    </row>
    <row r="310" spans="1:8" x14ac:dyDescent="0.25">
      <c r="A310" s="25" t="s">
        <v>599</v>
      </c>
      <c r="B310" s="26" t="s">
        <v>598</v>
      </c>
      <c r="C310" s="25"/>
      <c r="D310" s="25" t="s">
        <v>29</v>
      </c>
      <c r="E310" s="25" t="s">
        <v>1394</v>
      </c>
      <c r="F310" s="25" t="s">
        <v>1441</v>
      </c>
      <c r="G310" s="25" t="s">
        <v>30</v>
      </c>
      <c r="H310" s="25" t="s">
        <v>1432</v>
      </c>
    </row>
    <row r="311" spans="1:8" x14ac:dyDescent="0.25">
      <c r="A311" s="28" t="s">
        <v>601</v>
      </c>
      <c r="B311" s="29" t="s">
        <v>600</v>
      </c>
      <c r="C311" s="28"/>
      <c r="D311" s="28" t="s">
        <v>4</v>
      </c>
      <c r="E311" s="28" t="s">
        <v>1389</v>
      </c>
      <c r="F311" s="28" t="s">
        <v>1438</v>
      </c>
      <c r="G311" s="28" t="s">
        <v>1423</v>
      </c>
      <c r="H311" s="28" t="s">
        <v>1430</v>
      </c>
    </row>
    <row r="312" spans="1:8" x14ac:dyDescent="0.25">
      <c r="A312" s="36" t="s">
        <v>603</v>
      </c>
      <c r="B312" s="37" t="s">
        <v>602</v>
      </c>
      <c r="C312" s="36"/>
      <c r="D312" s="36" t="s">
        <v>13</v>
      </c>
      <c r="E312" s="36" t="s">
        <v>1393</v>
      </c>
      <c r="F312" s="36" t="s">
        <v>1440</v>
      </c>
      <c r="G312" s="36" t="s">
        <v>1424</v>
      </c>
      <c r="H312" s="36" t="s">
        <v>1432</v>
      </c>
    </row>
    <row r="313" spans="1:8" x14ac:dyDescent="0.25">
      <c r="A313" s="32" t="s">
        <v>1324</v>
      </c>
      <c r="B313" s="33" t="s">
        <v>604</v>
      </c>
      <c r="C313" s="32"/>
      <c r="D313" s="32" t="s">
        <v>10</v>
      </c>
      <c r="E313" s="32" t="s">
        <v>1398</v>
      </c>
      <c r="F313" s="23" t="s">
        <v>1442</v>
      </c>
      <c r="G313" s="23" t="s">
        <v>1422</v>
      </c>
      <c r="H313" s="32" t="s">
        <v>1430</v>
      </c>
    </row>
    <row r="314" spans="1:8" x14ac:dyDescent="0.25">
      <c r="A314" s="36" t="s">
        <v>606</v>
      </c>
      <c r="B314" s="37" t="s">
        <v>605</v>
      </c>
      <c r="C314" s="36"/>
      <c r="D314" s="36" t="s">
        <v>13</v>
      </c>
      <c r="E314" s="36" t="s">
        <v>1393</v>
      </c>
      <c r="F314" s="36" t="s">
        <v>1440</v>
      </c>
      <c r="G314" s="36" t="s">
        <v>1424</v>
      </c>
      <c r="H314" s="36" t="s">
        <v>1432</v>
      </c>
    </row>
    <row r="315" spans="1:8" x14ac:dyDescent="0.25">
      <c r="A315" s="34" t="s">
        <v>608</v>
      </c>
      <c r="B315" s="33" t="s">
        <v>607</v>
      </c>
      <c r="C315" s="34"/>
      <c r="D315" s="32" t="s">
        <v>18</v>
      </c>
      <c r="E315" s="32" t="s">
        <v>1384</v>
      </c>
      <c r="F315" s="32" t="s">
        <v>1436</v>
      </c>
      <c r="G315" s="32" t="s">
        <v>1445</v>
      </c>
      <c r="H315" s="32" t="s">
        <v>1430</v>
      </c>
    </row>
    <row r="316" spans="1:8" x14ac:dyDescent="0.25">
      <c r="A316" s="32" t="s">
        <v>1325</v>
      </c>
      <c r="B316" s="33" t="s">
        <v>609</v>
      </c>
      <c r="C316" s="32"/>
      <c r="D316" s="32" t="s">
        <v>18</v>
      </c>
      <c r="E316" s="32" t="s">
        <v>1384</v>
      </c>
      <c r="F316" s="32" t="s">
        <v>1436</v>
      </c>
      <c r="G316" s="32" t="s">
        <v>1445</v>
      </c>
      <c r="H316" s="32" t="s">
        <v>1430</v>
      </c>
    </row>
    <row r="317" spans="1:8" x14ac:dyDescent="0.25">
      <c r="A317" s="28" t="s">
        <v>1326</v>
      </c>
      <c r="B317" s="29" t="s">
        <v>610</v>
      </c>
      <c r="C317" s="28"/>
      <c r="D317" s="28" t="s">
        <v>4</v>
      </c>
      <c r="E317" s="28" t="s">
        <v>1389</v>
      </c>
      <c r="F317" s="28" t="s">
        <v>1438</v>
      </c>
      <c r="G317" s="28" t="s">
        <v>1423</v>
      </c>
      <c r="H317" s="28" t="s">
        <v>1430</v>
      </c>
    </row>
    <row r="318" spans="1:8" x14ac:dyDescent="0.25">
      <c r="A318" s="32" t="s">
        <v>1327</v>
      </c>
      <c r="B318" s="33" t="s">
        <v>611</v>
      </c>
      <c r="C318" s="32"/>
      <c r="D318" s="32" t="s">
        <v>18</v>
      </c>
      <c r="E318" s="32" t="s">
        <v>1384</v>
      </c>
      <c r="F318" s="32" t="s">
        <v>1436</v>
      </c>
      <c r="G318" s="32" t="s">
        <v>1445</v>
      </c>
      <c r="H318" s="32" t="s">
        <v>1430</v>
      </c>
    </row>
    <row r="319" spans="1:8" x14ac:dyDescent="0.25">
      <c r="A319" s="32" t="s">
        <v>1328</v>
      </c>
      <c r="B319" s="33" t="s">
        <v>612</v>
      </c>
      <c r="C319" s="32"/>
      <c r="D319" s="32" t="s">
        <v>76</v>
      </c>
      <c r="E319" s="32" t="s">
        <v>1397</v>
      </c>
      <c r="F319" s="32" t="s">
        <v>1436</v>
      </c>
      <c r="G319" s="32" t="s">
        <v>1445</v>
      </c>
      <c r="H319" s="32" t="s">
        <v>1430</v>
      </c>
    </row>
    <row r="320" spans="1:8" x14ac:dyDescent="0.25">
      <c r="A320" s="23" t="s">
        <v>1329</v>
      </c>
      <c r="B320" s="22" t="s">
        <v>613</v>
      </c>
      <c r="C320" s="23"/>
      <c r="D320" s="23" t="s">
        <v>10</v>
      </c>
      <c r="E320" s="23" t="s">
        <v>1398</v>
      </c>
      <c r="F320" s="23" t="s">
        <v>1442</v>
      </c>
      <c r="G320" s="23" t="s">
        <v>1422</v>
      </c>
      <c r="H320" s="23" t="s">
        <v>1432</v>
      </c>
    </row>
    <row r="321" spans="1:8" x14ac:dyDescent="0.25">
      <c r="A321" s="21" t="s">
        <v>1330</v>
      </c>
      <c r="B321" s="22" t="s">
        <v>614</v>
      </c>
      <c r="C321" s="21"/>
      <c r="D321" s="23" t="s">
        <v>10</v>
      </c>
      <c r="E321" s="23" t="s">
        <v>1398</v>
      </c>
      <c r="F321" s="23" t="s">
        <v>1442</v>
      </c>
      <c r="G321" s="23" t="s">
        <v>1422</v>
      </c>
      <c r="H321" s="23" t="s">
        <v>1432</v>
      </c>
    </row>
    <row r="322" spans="1:8" x14ac:dyDescent="0.25">
      <c r="A322" s="20" t="s">
        <v>1331</v>
      </c>
      <c r="B322" s="19" t="s">
        <v>615</v>
      </c>
      <c r="C322" s="20"/>
      <c r="D322" s="18" t="s">
        <v>26</v>
      </c>
      <c r="E322" s="18" t="s">
        <v>1390</v>
      </c>
      <c r="F322" s="18" t="s">
        <v>1444</v>
      </c>
      <c r="G322" s="18" t="s">
        <v>1429</v>
      </c>
      <c r="H322" s="18" t="s">
        <v>1431</v>
      </c>
    </row>
    <row r="323" spans="1:8" x14ac:dyDescent="0.25">
      <c r="A323" s="27" t="s">
        <v>617</v>
      </c>
      <c r="B323" s="26" t="s">
        <v>616</v>
      </c>
      <c r="C323" s="27"/>
      <c r="D323" s="25" t="s">
        <v>29</v>
      </c>
      <c r="E323" s="25" t="s">
        <v>1394</v>
      </c>
      <c r="F323" s="25" t="s">
        <v>1441</v>
      </c>
      <c r="G323" s="25" t="s">
        <v>30</v>
      </c>
      <c r="H323" s="25" t="s">
        <v>1432</v>
      </c>
    </row>
    <row r="324" spans="1:8" x14ac:dyDescent="0.25">
      <c r="A324" s="28" t="s">
        <v>619</v>
      </c>
      <c r="B324" s="29" t="s">
        <v>618</v>
      </c>
      <c r="C324" s="28"/>
      <c r="D324" s="28" t="s">
        <v>4</v>
      </c>
      <c r="E324" s="28" t="s">
        <v>1389</v>
      </c>
      <c r="F324" s="28" t="s">
        <v>1438</v>
      </c>
      <c r="G324" s="28" t="s">
        <v>1423</v>
      </c>
      <c r="H324" s="28" t="s">
        <v>1430</v>
      </c>
    </row>
    <row r="325" spans="1:8" x14ac:dyDescent="0.25">
      <c r="A325" s="36" t="s">
        <v>621</v>
      </c>
      <c r="B325" s="37" t="s">
        <v>620</v>
      </c>
      <c r="C325" s="36"/>
      <c r="D325" s="36" t="s">
        <v>13</v>
      </c>
      <c r="E325" s="36" t="s">
        <v>1393</v>
      </c>
      <c r="F325" s="36" t="s">
        <v>1440</v>
      </c>
      <c r="G325" s="36" t="s">
        <v>1424</v>
      </c>
      <c r="H325" s="36" t="s">
        <v>1432</v>
      </c>
    </row>
    <row r="326" spans="1:8" x14ac:dyDescent="0.25">
      <c r="A326" s="32" t="s">
        <v>623</v>
      </c>
      <c r="B326" s="33" t="s">
        <v>622</v>
      </c>
      <c r="C326" s="32"/>
      <c r="D326" s="18" t="s">
        <v>76</v>
      </c>
      <c r="E326" s="32" t="s">
        <v>1397</v>
      </c>
      <c r="F326" s="32" t="s">
        <v>1436</v>
      </c>
      <c r="G326" s="32" t="s">
        <v>1445</v>
      </c>
      <c r="H326" s="18" t="s">
        <v>1431</v>
      </c>
    </row>
    <row r="327" spans="1:8" x14ac:dyDescent="0.25">
      <c r="A327" s="36" t="s">
        <v>625</v>
      </c>
      <c r="B327" s="37" t="s">
        <v>624</v>
      </c>
      <c r="C327" s="36"/>
      <c r="D327" s="36" t="s">
        <v>13</v>
      </c>
      <c r="E327" s="36" t="s">
        <v>1393</v>
      </c>
      <c r="F327" s="36" t="s">
        <v>1440</v>
      </c>
      <c r="G327" s="36" t="s">
        <v>1424</v>
      </c>
      <c r="H327" s="36" t="s">
        <v>1432</v>
      </c>
    </row>
    <row r="328" spans="1:8" x14ac:dyDescent="0.25">
      <c r="A328" s="23" t="s">
        <v>627</v>
      </c>
      <c r="B328" s="22" t="s">
        <v>626</v>
      </c>
      <c r="C328" s="23"/>
      <c r="D328" s="23" t="s">
        <v>10</v>
      </c>
      <c r="E328" s="23" t="s">
        <v>1398</v>
      </c>
      <c r="F328" s="23" t="s">
        <v>1442</v>
      </c>
      <c r="G328" s="23" t="s">
        <v>1422</v>
      </c>
      <c r="H328" s="23" t="s">
        <v>1432</v>
      </c>
    </row>
    <row r="329" spans="1:8" x14ac:dyDescent="0.25">
      <c r="A329" s="36" t="s">
        <v>629</v>
      </c>
      <c r="B329" s="37" t="s">
        <v>628</v>
      </c>
      <c r="C329" s="36"/>
      <c r="D329" s="36" t="s">
        <v>13</v>
      </c>
      <c r="E329" s="36" t="s">
        <v>1393</v>
      </c>
      <c r="F329" s="36" t="s">
        <v>1440</v>
      </c>
      <c r="G329" s="36" t="s">
        <v>1424</v>
      </c>
      <c r="H329" s="36" t="s">
        <v>1432</v>
      </c>
    </row>
    <row r="330" spans="1:8" x14ac:dyDescent="0.25">
      <c r="A330" s="23" t="s">
        <v>631</v>
      </c>
      <c r="B330" s="22" t="s">
        <v>630</v>
      </c>
      <c r="C330" s="23"/>
      <c r="D330" s="23" t="s">
        <v>10</v>
      </c>
      <c r="E330" s="23" t="s">
        <v>1398</v>
      </c>
      <c r="F330" s="23" t="s">
        <v>1442</v>
      </c>
      <c r="G330" s="23" t="s">
        <v>1422</v>
      </c>
      <c r="H330" s="23" t="s">
        <v>1432</v>
      </c>
    </row>
    <row r="331" spans="1:8" x14ac:dyDescent="0.25">
      <c r="A331" s="27" t="s">
        <v>633</v>
      </c>
      <c r="B331" s="26" t="s">
        <v>632</v>
      </c>
      <c r="C331" s="27"/>
      <c r="D331" s="25" t="s">
        <v>29</v>
      </c>
      <c r="E331" s="25" t="s">
        <v>1394</v>
      </c>
      <c r="F331" s="25" t="s">
        <v>1441</v>
      </c>
      <c r="G331" s="25" t="s">
        <v>30</v>
      </c>
      <c r="H331" s="25" t="s">
        <v>1432</v>
      </c>
    </row>
    <row r="332" spans="1:8" x14ac:dyDescent="0.25">
      <c r="A332" s="25" t="s">
        <v>635</v>
      </c>
      <c r="B332" s="26" t="s">
        <v>634</v>
      </c>
      <c r="C332" s="25"/>
      <c r="D332" s="25" t="s">
        <v>55</v>
      </c>
      <c r="E332" s="25" t="s">
        <v>1388</v>
      </c>
      <c r="F332" s="32" t="s">
        <v>1437</v>
      </c>
      <c r="G332" s="25" t="s">
        <v>1423</v>
      </c>
      <c r="H332" s="25" t="s">
        <v>1430</v>
      </c>
    </row>
    <row r="333" spans="1:8" x14ac:dyDescent="0.25">
      <c r="A333" s="21" t="s">
        <v>637</v>
      </c>
      <c r="B333" s="22" t="s">
        <v>636</v>
      </c>
      <c r="C333" s="21"/>
      <c r="D333" s="23" t="s">
        <v>10</v>
      </c>
      <c r="E333" s="23" t="s">
        <v>1398</v>
      </c>
      <c r="F333" s="23" t="s">
        <v>1442</v>
      </c>
      <c r="G333" s="23" t="s">
        <v>1422</v>
      </c>
      <c r="H333" s="23" t="s">
        <v>1432</v>
      </c>
    </row>
    <row r="334" spans="1:8" x14ac:dyDescent="0.25">
      <c r="A334" s="36" t="s">
        <v>1332</v>
      </c>
      <c r="B334" s="37" t="s">
        <v>638</v>
      </c>
      <c r="C334" s="36"/>
      <c r="D334" s="36" t="s">
        <v>13</v>
      </c>
      <c r="E334" s="36" t="s">
        <v>1393</v>
      </c>
      <c r="F334" s="36" t="s">
        <v>1440</v>
      </c>
      <c r="G334" s="36" t="s">
        <v>1424</v>
      </c>
      <c r="H334" s="36" t="s">
        <v>1432</v>
      </c>
    </row>
    <row r="335" spans="1:8" x14ac:dyDescent="0.25">
      <c r="A335" s="36" t="s">
        <v>640</v>
      </c>
      <c r="B335" s="37" t="s">
        <v>639</v>
      </c>
      <c r="C335" s="36"/>
      <c r="D335" s="36" t="s">
        <v>13</v>
      </c>
      <c r="E335" s="36" t="s">
        <v>1393</v>
      </c>
      <c r="F335" s="36" t="s">
        <v>1440</v>
      </c>
      <c r="G335" s="36" t="s">
        <v>1424</v>
      </c>
      <c r="H335" s="36" t="s">
        <v>1432</v>
      </c>
    </row>
    <row r="336" spans="1:8" x14ac:dyDescent="0.25">
      <c r="A336" s="36" t="s">
        <v>1333</v>
      </c>
      <c r="B336" s="37" t="s">
        <v>641</v>
      </c>
      <c r="C336" s="36"/>
      <c r="D336" s="36" t="s">
        <v>36</v>
      </c>
      <c r="E336" s="36" t="s">
        <v>1395</v>
      </c>
      <c r="F336" s="25" t="s">
        <v>1441</v>
      </c>
      <c r="G336" s="25" t="s">
        <v>30</v>
      </c>
      <c r="H336" s="36" t="s">
        <v>1432</v>
      </c>
    </row>
    <row r="337" spans="1:8" x14ac:dyDescent="0.25">
      <c r="A337" s="32" t="s">
        <v>643</v>
      </c>
      <c r="B337" s="33" t="s">
        <v>642</v>
      </c>
      <c r="C337" s="32"/>
      <c r="D337" s="18" t="s">
        <v>76</v>
      </c>
      <c r="E337" s="32" t="s">
        <v>1397</v>
      </c>
      <c r="F337" s="32" t="s">
        <v>1436</v>
      </c>
      <c r="G337" s="32" t="s">
        <v>1445</v>
      </c>
      <c r="H337" s="18" t="s">
        <v>1431</v>
      </c>
    </row>
    <row r="338" spans="1:8" x14ac:dyDescent="0.25">
      <c r="A338" s="36" t="s">
        <v>689</v>
      </c>
      <c r="B338" s="37" t="s">
        <v>688</v>
      </c>
      <c r="C338" s="36"/>
      <c r="D338" s="36" t="s">
        <v>36</v>
      </c>
      <c r="E338" s="36" t="s">
        <v>1395</v>
      </c>
      <c r="F338" s="25" t="s">
        <v>1441</v>
      </c>
      <c r="G338" s="25" t="s">
        <v>30</v>
      </c>
      <c r="H338" s="36" t="s">
        <v>1432</v>
      </c>
    </row>
    <row r="339" spans="1:8" x14ac:dyDescent="0.25">
      <c r="A339" s="32" t="s">
        <v>645</v>
      </c>
      <c r="B339" s="33" t="s">
        <v>644</v>
      </c>
      <c r="C339" s="32"/>
      <c r="D339" s="32" t="s">
        <v>18</v>
      </c>
      <c r="E339" s="32" t="s">
        <v>1384</v>
      </c>
      <c r="F339" s="32" t="s">
        <v>1436</v>
      </c>
      <c r="G339" s="32" t="s">
        <v>1445</v>
      </c>
      <c r="H339" s="32" t="s">
        <v>1430</v>
      </c>
    </row>
    <row r="340" spans="1:8" x14ac:dyDescent="0.25">
      <c r="A340" s="18" t="s">
        <v>1334</v>
      </c>
      <c r="B340" s="19" t="s">
        <v>646</v>
      </c>
      <c r="C340" s="18"/>
      <c r="D340" s="18" t="s">
        <v>26</v>
      </c>
      <c r="E340" s="18" t="s">
        <v>1390</v>
      </c>
      <c r="F340" s="18" t="s">
        <v>1444</v>
      </c>
      <c r="G340" s="18" t="s">
        <v>1429</v>
      </c>
      <c r="H340" s="18" t="s">
        <v>1431</v>
      </c>
    </row>
    <row r="341" spans="1:8" x14ac:dyDescent="0.25">
      <c r="A341" s="34" t="s">
        <v>648</v>
      </c>
      <c r="B341" s="33" t="s">
        <v>647</v>
      </c>
      <c r="C341" s="34"/>
      <c r="D341" s="18" t="s">
        <v>76</v>
      </c>
      <c r="E341" s="32" t="s">
        <v>1397</v>
      </c>
      <c r="F341" s="32" t="s">
        <v>1436</v>
      </c>
      <c r="G341" s="32" t="s">
        <v>1445</v>
      </c>
      <c r="H341" s="18" t="s">
        <v>1431</v>
      </c>
    </row>
    <row r="342" spans="1:8" x14ac:dyDescent="0.25">
      <c r="A342" s="36" t="s">
        <v>650</v>
      </c>
      <c r="B342" s="37" t="s">
        <v>649</v>
      </c>
      <c r="C342" s="36"/>
      <c r="D342" s="36" t="s">
        <v>13</v>
      </c>
      <c r="E342" s="36" t="s">
        <v>1393</v>
      </c>
      <c r="F342" s="36" t="s">
        <v>1440</v>
      </c>
      <c r="G342" s="36" t="s">
        <v>1424</v>
      </c>
      <c r="H342" s="36" t="s">
        <v>1432</v>
      </c>
    </row>
    <row r="343" spans="1:8" x14ac:dyDescent="0.25">
      <c r="A343" s="32" t="s">
        <v>652</v>
      </c>
      <c r="B343" s="33" t="s">
        <v>651</v>
      </c>
      <c r="C343" s="32" t="s">
        <v>131</v>
      </c>
      <c r="D343" s="32" t="s">
        <v>18</v>
      </c>
      <c r="E343" s="32" t="s">
        <v>1384</v>
      </c>
      <c r="F343" s="32" t="s">
        <v>1436</v>
      </c>
      <c r="G343" s="32" t="s">
        <v>1445</v>
      </c>
      <c r="H343" s="32" t="s">
        <v>1430</v>
      </c>
    </row>
    <row r="344" spans="1:8" x14ac:dyDescent="0.25">
      <c r="A344" s="28" t="s">
        <v>1335</v>
      </c>
      <c r="B344" s="29" t="s">
        <v>653</v>
      </c>
      <c r="C344" s="28"/>
      <c r="D344" s="28" t="s">
        <v>4</v>
      </c>
      <c r="E344" s="28" t="s">
        <v>1389</v>
      </c>
      <c r="F344" s="28" t="s">
        <v>1438</v>
      </c>
      <c r="G344" s="28" t="s">
        <v>1423</v>
      </c>
      <c r="H344" s="28" t="s">
        <v>1430</v>
      </c>
    </row>
    <row r="345" spans="1:8" x14ac:dyDescent="0.25">
      <c r="A345" s="36" t="s">
        <v>655</v>
      </c>
      <c r="B345" s="37" t="s">
        <v>654</v>
      </c>
      <c r="C345" s="36"/>
      <c r="D345" s="36" t="s">
        <v>36</v>
      </c>
      <c r="E345" s="36" t="s">
        <v>1395</v>
      </c>
      <c r="F345" s="25" t="s">
        <v>1441</v>
      </c>
      <c r="G345" s="25" t="s">
        <v>30</v>
      </c>
      <c r="H345" s="36" t="s">
        <v>1432</v>
      </c>
    </row>
    <row r="346" spans="1:8" x14ac:dyDescent="0.25">
      <c r="A346" s="27" t="s">
        <v>657</v>
      </c>
      <c r="B346" s="26" t="s">
        <v>656</v>
      </c>
      <c r="C346" s="27"/>
      <c r="D346" s="25" t="s">
        <v>7</v>
      </c>
      <c r="E346" s="25" t="s">
        <v>1391</v>
      </c>
      <c r="F346" s="18" t="s">
        <v>1439</v>
      </c>
      <c r="G346" s="18" t="s">
        <v>30</v>
      </c>
      <c r="H346" s="25" t="s">
        <v>1431</v>
      </c>
    </row>
    <row r="347" spans="1:8" x14ac:dyDescent="0.25">
      <c r="A347" s="23" t="s">
        <v>659</v>
      </c>
      <c r="B347" s="22" t="s">
        <v>658</v>
      </c>
      <c r="C347" s="23"/>
      <c r="D347" s="23" t="s">
        <v>10</v>
      </c>
      <c r="E347" s="23" t="s">
        <v>1398</v>
      </c>
      <c r="F347" s="23" t="s">
        <v>1442</v>
      </c>
      <c r="G347" s="23" t="s">
        <v>1422</v>
      </c>
      <c r="H347" s="23" t="s">
        <v>1432</v>
      </c>
    </row>
    <row r="348" spans="1:8" x14ac:dyDescent="0.25">
      <c r="A348" s="34" t="s">
        <v>661</v>
      </c>
      <c r="B348" s="33" t="s">
        <v>660</v>
      </c>
      <c r="C348" s="34"/>
      <c r="D348" s="32" t="s">
        <v>48</v>
      </c>
      <c r="E348" s="32" t="s">
        <v>1387</v>
      </c>
      <c r="F348" s="32" t="s">
        <v>1437</v>
      </c>
      <c r="G348" s="32" t="s">
        <v>1422</v>
      </c>
      <c r="H348" s="32" t="s">
        <v>1430</v>
      </c>
    </row>
    <row r="349" spans="1:8" x14ac:dyDescent="0.25">
      <c r="A349" s="18" t="s">
        <v>663</v>
      </c>
      <c r="B349" s="19" t="s">
        <v>662</v>
      </c>
      <c r="C349" s="18"/>
      <c r="D349" s="18" t="s">
        <v>7</v>
      </c>
      <c r="E349" s="18" t="s">
        <v>1391</v>
      </c>
      <c r="F349" s="18" t="s">
        <v>1439</v>
      </c>
      <c r="G349" s="18" t="s">
        <v>30</v>
      </c>
      <c r="H349" s="18" t="s">
        <v>1431</v>
      </c>
    </row>
    <row r="350" spans="1:8" x14ac:dyDescent="0.25">
      <c r="A350" s="23" t="s">
        <v>665</v>
      </c>
      <c r="B350" s="22" t="s">
        <v>664</v>
      </c>
      <c r="C350" s="23"/>
      <c r="D350" s="23" t="s">
        <v>10</v>
      </c>
      <c r="E350" s="23" t="s">
        <v>1398</v>
      </c>
      <c r="F350" s="23" t="s">
        <v>1442</v>
      </c>
      <c r="G350" s="23" t="s">
        <v>1422</v>
      </c>
      <c r="H350" s="23" t="s">
        <v>1432</v>
      </c>
    </row>
    <row r="351" spans="1:8" x14ac:dyDescent="0.25">
      <c r="A351" s="25" t="s">
        <v>667</v>
      </c>
      <c r="B351" s="26" t="s">
        <v>666</v>
      </c>
      <c r="C351" s="25"/>
      <c r="D351" s="25" t="s">
        <v>7</v>
      </c>
      <c r="E351" s="25" t="s">
        <v>1391</v>
      </c>
      <c r="F351" s="18" t="s">
        <v>1439</v>
      </c>
      <c r="G351" s="18" t="s">
        <v>30</v>
      </c>
      <c r="H351" s="25" t="s">
        <v>1431</v>
      </c>
    </row>
    <row r="352" spans="1:8" x14ac:dyDescent="0.25">
      <c r="A352" s="32" t="s">
        <v>669</v>
      </c>
      <c r="B352" s="33" t="s">
        <v>668</v>
      </c>
      <c r="C352" s="32"/>
      <c r="D352" s="18" t="s">
        <v>76</v>
      </c>
      <c r="E352" s="32" t="s">
        <v>1397</v>
      </c>
      <c r="F352" s="32" t="s">
        <v>1436</v>
      </c>
      <c r="G352" s="32" t="s">
        <v>1445</v>
      </c>
      <c r="H352" s="18" t="s">
        <v>1431</v>
      </c>
    </row>
    <row r="353" spans="1:8" ht="12.6" customHeight="1" x14ac:dyDescent="0.25">
      <c r="A353" s="27" t="s">
        <v>671</v>
      </c>
      <c r="B353" s="26" t="s">
        <v>670</v>
      </c>
      <c r="C353" s="27"/>
      <c r="D353" s="25" t="s">
        <v>197</v>
      </c>
      <c r="E353" s="25" t="s">
        <v>1403</v>
      </c>
      <c r="F353" s="25"/>
      <c r="G353" s="25" t="s">
        <v>30</v>
      </c>
      <c r="H353" s="25" t="s">
        <v>1431</v>
      </c>
    </row>
    <row r="354" spans="1:8" x14ac:dyDescent="0.25">
      <c r="A354" s="28" t="s">
        <v>673</v>
      </c>
      <c r="B354" s="29" t="s">
        <v>672</v>
      </c>
      <c r="C354" s="28" t="s">
        <v>21</v>
      </c>
      <c r="D354" s="28" t="s">
        <v>4</v>
      </c>
      <c r="E354" s="28" t="s">
        <v>1389</v>
      </c>
      <c r="F354" s="28" t="s">
        <v>1438</v>
      </c>
      <c r="G354" s="28" t="s">
        <v>1423</v>
      </c>
      <c r="H354" s="28" t="s">
        <v>1430</v>
      </c>
    </row>
    <row r="355" spans="1:8" x14ac:dyDescent="0.25">
      <c r="A355" s="36" t="s">
        <v>675</v>
      </c>
      <c r="B355" s="37" t="s">
        <v>674</v>
      </c>
      <c r="C355" s="36"/>
      <c r="D355" s="36" t="s">
        <v>7</v>
      </c>
      <c r="E355" s="36" t="s">
        <v>1391</v>
      </c>
      <c r="F355" s="18" t="s">
        <v>1439</v>
      </c>
      <c r="G355" s="36" t="s">
        <v>1429</v>
      </c>
      <c r="H355" s="36" t="s">
        <v>1432</v>
      </c>
    </row>
    <row r="356" spans="1:8" x14ac:dyDescent="0.25">
      <c r="A356" s="25" t="s">
        <v>679</v>
      </c>
      <c r="B356" s="26" t="s">
        <v>678</v>
      </c>
      <c r="C356" s="25"/>
      <c r="D356" s="25" t="s">
        <v>7</v>
      </c>
      <c r="E356" s="25" t="s">
        <v>1391</v>
      </c>
      <c r="F356" s="18" t="s">
        <v>1439</v>
      </c>
      <c r="G356" s="36" t="s">
        <v>1429</v>
      </c>
      <c r="H356" s="25" t="s">
        <v>1431</v>
      </c>
    </row>
    <row r="357" spans="1:8" x14ac:dyDescent="0.25">
      <c r="A357" s="18" t="s">
        <v>677</v>
      </c>
      <c r="B357" s="19" t="s">
        <v>676</v>
      </c>
      <c r="C357" s="18"/>
      <c r="D357" s="18" t="s">
        <v>26</v>
      </c>
      <c r="E357" s="18" t="s">
        <v>1390</v>
      </c>
      <c r="F357" s="18" t="s">
        <v>1444</v>
      </c>
      <c r="G357" s="18" t="s">
        <v>1429</v>
      </c>
      <c r="H357" s="18" t="s">
        <v>1431</v>
      </c>
    </row>
    <row r="358" spans="1:8" x14ac:dyDescent="0.25">
      <c r="A358" s="28" t="s">
        <v>681</v>
      </c>
      <c r="B358" s="29" t="s">
        <v>680</v>
      </c>
      <c r="C358" s="28" t="s">
        <v>21</v>
      </c>
      <c r="D358" s="28" t="s">
        <v>4</v>
      </c>
      <c r="E358" s="28" t="s">
        <v>1389</v>
      </c>
      <c r="F358" s="28" t="s">
        <v>1438</v>
      </c>
      <c r="G358" s="28" t="s">
        <v>1423</v>
      </c>
      <c r="H358" s="28" t="s">
        <v>1430</v>
      </c>
    </row>
    <row r="359" spans="1:8" x14ac:dyDescent="0.25">
      <c r="A359" s="28" t="s">
        <v>1336</v>
      </c>
      <c r="B359" s="29" t="s">
        <v>682</v>
      </c>
      <c r="C359" s="28"/>
      <c r="D359" s="28" t="s">
        <v>55</v>
      </c>
      <c r="E359" s="28" t="s">
        <v>1388</v>
      </c>
      <c r="F359" s="32" t="s">
        <v>1437</v>
      </c>
      <c r="G359" s="25" t="s">
        <v>1423</v>
      </c>
      <c r="H359" s="28" t="s">
        <v>1430</v>
      </c>
    </row>
    <row r="360" spans="1:8" x14ac:dyDescent="0.25">
      <c r="A360" s="32" t="s">
        <v>1337</v>
      </c>
      <c r="B360" s="33" t="s">
        <v>683</v>
      </c>
      <c r="C360" s="32"/>
      <c r="D360" s="32" t="s">
        <v>18</v>
      </c>
      <c r="E360" s="32" t="s">
        <v>1384</v>
      </c>
      <c r="F360" s="32" t="s">
        <v>1436</v>
      </c>
      <c r="G360" s="32" t="s">
        <v>1445</v>
      </c>
      <c r="H360" s="32" t="s">
        <v>1430</v>
      </c>
    </row>
    <row r="361" spans="1:8" x14ac:dyDescent="0.25">
      <c r="A361" s="28" t="s">
        <v>685</v>
      </c>
      <c r="B361" s="29" t="s">
        <v>684</v>
      </c>
      <c r="C361" s="28"/>
      <c r="D361" s="28" t="s">
        <v>4</v>
      </c>
      <c r="E361" s="28" t="s">
        <v>1389</v>
      </c>
      <c r="F361" s="28" t="s">
        <v>1438</v>
      </c>
      <c r="G361" s="28" t="s">
        <v>1423</v>
      </c>
      <c r="H361" s="28" t="s">
        <v>1430</v>
      </c>
    </row>
    <row r="362" spans="1:8" x14ac:dyDescent="0.25">
      <c r="A362" s="25" t="s">
        <v>691</v>
      </c>
      <c r="B362" s="26" t="s">
        <v>690</v>
      </c>
      <c r="C362" s="25"/>
      <c r="D362" s="25" t="s">
        <v>55</v>
      </c>
      <c r="E362" s="25" t="s">
        <v>1388</v>
      </c>
      <c r="F362" s="32" t="s">
        <v>1437</v>
      </c>
      <c r="G362" s="25" t="s">
        <v>1423</v>
      </c>
      <c r="H362" s="25" t="s">
        <v>1430</v>
      </c>
    </row>
    <row r="363" spans="1:8" x14ac:dyDescent="0.25">
      <c r="A363" s="27" t="s">
        <v>693</v>
      </c>
      <c r="B363" s="26" t="s">
        <v>692</v>
      </c>
      <c r="C363" s="27"/>
      <c r="D363" s="25" t="s">
        <v>7</v>
      </c>
      <c r="E363" s="25" t="s">
        <v>1391</v>
      </c>
      <c r="F363" s="18" t="s">
        <v>1439</v>
      </c>
      <c r="G363" s="36" t="s">
        <v>1429</v>
      </c>
      <c r="H363" s="25" t="s">
        <v>1431</v>
      </c>
    </row>
    <row r="364" spans="1:8" x14ac:dyDescent="0.25">
      <c r="A364" s="36" t="s">
        <v>695</v>
      </c>
      <c r="B364" s="37" t="s">
        <v>694</v>
      </c>
      <c r="C364" s="36"/>
      <c r="D364" s="36" t="s">
        <v>36</v>
      </c>
      <c r="E364" s="36" t="s">
        <v>1395</v>
      </c>
      <c r="F364" s="25" t="s">
        <v>1441</v>
      </c>
      <c r="G364" s="25" t="s">
        <v>30</v>
      </c>
      <c r="H364" s="36" t="s">
        <v>1432</v>
      </c>
    </row>
    <row r="365" spans="1:8" x14ac:dyDescent="0.25">
      <c r="A365" s="36" t="s">
        <v>697</v>
      </c>
      <c r="B365" s="37" t="s">
        <v>696</v>
      </c>
      <c r="C365" s="36"/>
      <c r="D365" s="36" t="s">
        <v>36</v>
      </c>
      <c r="E365" s="36" t="s">
        <v>1395</v>
      </c>
      <c r="F365" s="25" t="s">
        <v>1441</v>
      </c>
      <c r="G365" s="25" t="s">
        <v>30</v>
      </c>
      <c r="H365" s="36" t="s">
        <v>1432</v>
      </c>
    </row>
    <row r="366" spans="1:8" x14ac:dyDescent="0.25">
      <c r="A366" s="28" t="s">
        <v>699</v>
      </c>
      <c r="B366" s="29" t="s">
        <v>698</v>
      </c>
      <c r="C366" s="28"/>
      <c r="D366" s="28" t="s">
        <v>4</v>
      </c>
      <c r="E366" s="28" t="s">
        <v>1389</v>
      </c>
      <c r="F366" s="28" t="s">
        <v>1438</v>
      </c>
      <c r="G366" s="28" t="s">
        <v>1423</v>
      </c>
      <c r="H366" s="28" t="s">
        <v>1430</v>
      </c>
    </row>
    <row r="367" spans="1:8" x14ac:dyDescent="0.25">
      <c r="A367" s="25" t="s">
        <v>701</v>
      </c>
      <c r="B367" s="26" t="s">
        <v>700</v>
      </c>
      <c r="C367" s="25"/>
      <c r="D367" s="25" t="s">
        <v>29</v>
      </c>
      <c r="E367" s="25" t="s">
        <v>1394</v>
      </c>
      <c r="F367" s="25" t="s">
        <v>1441</v>
      </c>
      <c r="G367" s="25" t="s">
        <v>30</v>
      </c>
      <c r="H367" s="25" t="s">
        <v>1432</v>
      </c>
    </row>
    <row r="368" spans="1:8" x14ac:dyDescent="0.25">
      <c r="A368" s="36" t="s">
        <v>703</v>
      </c>
      <c r="B368" s="37" t="s">
        <v>702</v>
      </c>
      <c r="C368" s="36"/>
      <c r="D368" s="36" t="s">
        <v>36</v>
      </c>
      <c r="E368" s="36" t="s">
        <v>1395</v>
      </c>
      <c r="F368" s="25" t="s">
        <v>1441</v>
      </c>
      <c r="G368" s="25" t="s">
        <v>30</v>
      </c>
      <c r="H368" s="36" t="s">
        <v>1432</v>
      </c>
    </row>
    <row r="369" spans="1:8" x14ac:dyDescent="0.25">
      <c r="A369" s="18" t="s">
        <v>705</v>
      </c>
      <c r="B369" s="19" t="s">
        <v>704</v>
      </c>
      <c r="C369" s="18"/>
      <c r="D369" s="18" t="s">
        <v>61</v>
      </c>
      <c r="E369" s="18" t="s">
        <v>1396</v>
      </c>
      <c r="F369" s="18" t="s">
        <v>1444</v>
      </c>
      <c r="G369" s="18" t="s">
        <v>1429</v>
      </c>
      <c r="H369" s="18" t="s">
        <v>1431</v>
      </c>
    </row>
    <row r="370" spans="1:8" x14ac:dyDescent="0.25">
      <c r="A370" s="23" t="s">
        <v>707</v>
      </c>
      <c r="B370" s="22" t="s">
        <v>706</v>
      </c>
      <c r="C370" s="23"/>
      <c r="D370" s="23" t="s">
        <v>10</v>
      </c>
      <c r="E370" s="23" t="s">
        <v>1398</v>
      </c>
      <c r="F370" s="23" t="s">
        <v>1442</v>
      </c>
      <c r="G370" s="23" t="s">
        <v>1443</v>
      </c>
      <c r="H370" s="23" t="s">
        <v>1432</v>
      </c>
    </row>
    <row r="371" spans="1:8" x14ac:dyDescent="0.25">
      <c r="A371" s="18" t="s">
        <v>709</v>
      </c>
      <c r="B371" s="19" t="s">
        <v>708</v>
      </c>
      <c r="C371" s="18"/>
      <c r="D371" s="18" t="s">
        <v>197</v>
      </c>
      <c r="E371" s="18" t="s">
        <v>1403</v>
      </c>
      <c r="F371" s="18"/>
      <c r="G371" s="18" t="s">
        <v>1429</v>
      </c>
      <c r="H371" s="18" t="s">
        <v>1431</v>
      </c>
    </row>
    <row r="372" spans="1:8" x14ac:dyDescent="0.25">
      <c r="A372" s="36" t="s">
        <v>711</v>
      </c>
      <c r="B372" s="37" t="s">
        <v>710</v>
      </c>
      <c r="C372" s="36"/>
      <c r="D372" s="36" t="s">
        <v>36</v>
      </c>
      <c r="E372" s="36" t="s">
        <v>1395</v>
      </c>
      <c r="F372" s="25" t="s">
        <v>1441</v>
      </c>
      <c r="G372" s="25" t="s">
        <v>30</v>
      </c>
      <c r="H372" s="36" t="s">
        <v>1432</v>
      </c>
    </row>
    <row r="373" spans="1:8" x14ac:dyDescent="0.25">
      <c r="A373" s="20" t="s">
        <v>1338</v>
      </c>
      <c r="B373" s="19" t="s">
        <v>712</v>
      </c>
      <c r="C373" s="20"/>
      <c r="D373" s="18" t="s">
        <v>197</v>
      </c>
      <c r="E373" s="18" t="s">
        <v>1403</v>
      </c>
      <c r="F373" s="18"/>
      <c r="G373" s="18" t="s">
        <v>1429</v>
      </c>
      <c r="H373" s="18" t="s">
        <v>1431</v>
      </c>
    </row>
    <row r="374" spans="1:8" x14ac:dyDescent="0.25">
      <c r="A374" s="25" t="s">
        <v>714</v>
      </c>
      <c r="B374" s="26" t="s">
        <v>713</v>
      </c>
      <c r="C374" s="25"/>
      <c r="D374" s="25" t="s">
        <v>29</v>
      </c>
      <c r="E374" s="25" t="s">
        <v>1394</v>
      </c>
      <c r="F374" s="25" t="s">
        <v>1441</v>
      </c>
      <c r="G374" s="25" t="s">
        <v>30</v>
      </c>
      <c r="H374" s="25" t="s">
        <v>1432</v>
      </c>
    </row>
    <row r="375" spans="1:8" x14ac:dyDescent="0.25">
      <c r="A375" s="28" t="s">
        <v>716</v>
      </c>
      <c r="B375" s="29" t="s">
        <v>715</v>
      </c>
      <c r="C375" s="28"/>
      <c r="D375" s="28" t="s">
        <v>4</v>
      </c>
      <c r="E375" s="28" t="s">
        <v>1389</v>
      </c>
      <c r="F375" s="28" t="s">
        <v>1438</v>
      </c>
      <c r="G375" s="28" t="s">
        <v>1423</v>
      </c>
      <c r="H375" s="28" t="s">
        <v>1430</v>
      </c>
    </row>
    <row r="376" spans="1:8" x14ac:dyDescent="0.25">
      <c r="A376" s="28" t="s">
        <v>718</v>
      </c>
      <c r="B376" s="29" t="s">
        <v>717</v>
      </c>
      <c r="C376" s="28"/>
      <c r="D376" s="28" t="s">
        <v>55</v>
      </c>
      <c r="E376" s="28" t="s">
        <v>1388</v>
      </c>
      <c r="F376" s="32" t="s">
        <v>1437</v>
      </c>
      <c r="G376" s="25" t="s">
        <v>1423</v>
      </c>
      <c r="H376" s="28" t="s">
        <v>1430</v>
      </c>
    </row>
    <row r="377" spans="1:8" x14ac:dyDescent="0.25">
      <c r="A377" s="32" t="s">
        <v>720</v>
      </c>
      <c r="B377" s="33" t="s">
        <v>719</v>
      </c>
      <c r="C377" s="32"/>
      <c r="D377" s="32" t="s">
        <v>10</v>
      </c>
      <c r="E377" s="32" t="s">
        <v>1398</v>
      </c>
      <c r="F377" s="23" t="s">
        <v>1442</v>
      </c>
      <c r="G377" s="23" t="s">
        <v>1422</v>
      </c>
      <c r="H377" s="32" t="s">
        <v>1430</v>
      </c>
    </row>
    <row r="378" spans="1:8" x14ac:dyDescent="0.25">
      <c r="A378" s="18" t="s">
        <v>722</v>
      </c>
      <c r="B378" s="19" t="s">
        <v>721</v>
      </c>
      <c r="C378" s="18"/>
      <c r="D378" s="18" t="s">
        <v>26</v>
      </c>
      <c r="E378" s="18" t="s">
        <v>1390</v>
      </c>
      <c r="F378" s="18" t="s">
        <v>1444</v>
      </c>
      <c r="G378" s="18" t="s">
        <v>1429</v>
      </c>
      <c r="H378" s="18" t="s">
        <v>1431</v>
      </c>
    </row>
    <row r="379" spans="1:8" x14ac:dyDescent="0.25">
      <c r="A379" s="28" t="s">
        <v>724</v>
      </c>
      <c r="B379" s="29" t="s">
        <v>723</v>
      </c>
      <c r="C379" s="28"/>
      <c r="D379" s="28" t="s">
        <v>136</v>
      </c>
      <c r="E379" s="28" t="s">
        <v>1386</v>
      </c>
      <c r="F379" s="32" t="s">
        <v>1437</v>
      </c>
      <c r="G379" s="32" t="s">
        <v>1422</v>
      </c>
      <c r="H379" s="28" t="s">
        <v>1430</v>
      </c>
    </row>
    <row r="380" spans="1:8" x14ac:dyDescent="0.25">
      <c r="A380" s="34" t="s">
        <v>726</v>
      </c>
      <c r="B380" s="33" t="s">
        <v>725</v>
      </c>
      <c r="C380" s="34"/>
      <c r="D380" s="32" t="s">
        <v>48</v>
      </c>
      <c r="E380" s="32" t="s">
        <v>1387</v>
      </c>
      <c r="F380" s="32" t="s">
        <v>1437</v>
      </c>
      <c r="G380" s="32" t="s">
        <v>1422</v>
      </c>
      <c r="H380" s="32" t="s">
        <v>1430</v>
      </c>
    </row>
    <row r="381" spans="1:8" x14ac:dyDescent="0.25">
      <c r="A381" s="23" t="s">
        <v>1339</v>
      </c>
      <c r="B381" s="22" t="s">
        <v>727</v>
      </c>
      <c r="C381" s="23"/>
      <c r="D381" s="23" t="s">
        <v>10</v>
      </c>
      <c r="E381" s="23" t="s">
        <v>1398</v>
      </c>
      <c r="F381" s="23" t="s">
        <v>1442</v>
      </c>
      <c r="G381" s="23" t="s">
        <v>1422</v>
      </c>
      <c r="H381" s="23" t="s">
        <v>1432</v>
      </c>
    </row>
    <row r="382" spans="1:8" x14ac:dyDescent="0.25">
      <c r="A382" s="18" t="s">
        <v>729</v>
      </c>
      <c r="B382" s="19" t="s">
        <v>728</v>
      </c>
      <c r="C382" s="18" t="s">
        <v>242</v>
      </c>
      <c r="D382" s="18" t="s">
        <v>26</v>
      </c>
      <c r="E382" s="18" t="s">
        <v>1390</v>
      </c>
      <c r="F382" s="18" t="s">
        <v>1444</v>
      </c>
      <c r="G382" s="18" t="s">
        <v>1429</v>
      </c>
      <c r="H382" s="18" t="s">
        <v>1431</v>
      </c>
    </row>
    <row r="383" spans="1:8" x14ac:dyDescent="0.25">
      <c r="A383" s="32" t="s">
        <v>731</v>
      </c>
      <c r="B383" s="33" t="s">
        <v>730</v>
      </c>
      <c r="C383" s="32"/>
      <c r="D383" s="32" t="s">
        <v>48</v>
      </c>
      <c r="E383" s="32" t="s">
        <v>1387</v>
      </c>
      <c r="F383" s="32" t="s">
        <v>1437</v>
      </c>
      <c r="G383" s="32" t="s">
        <v>1422</v>
      </c>
      <c r="H383" s="32" t="s">
        <v>1430</v>
      </c>
    </row>
    <row r="384" spans="1:8" x14ac:dyDescent="0.25">
      <c r="A384" s="34" t="s">
        <v>733</v>
      </c>
      <c r="B384" s="33" t="s">
        <v>732</v>
      </c>
      <c r="C384" s="34"/>
      <c r="D384" s="18" t="s">
        <v>76</v>
      </c>
      <c r="E384" s="32" t="s">
        <v>1397</v>
      </c>
      <c r="F384" s="32" t="s">
        <v>1436</v>
      </c>
      <c r="G384" s="32" t="s">
        <v>1445</v>
      </c>
      <c r="H384" s="18" t="s">
        <v>1431</v>
      </c>
    </row>
    <row r="385" spans="1:8" x14ac:dyDescent="0.25">
      <c r="A385" s="18" t="s">
        <v>735</v>
      </c>
      <c r="B385" s="19" t="s">
        <v>734</v>
      </c>
      <c r="C385" s="18"/>
      <c r="D385" s="18" t="s">
        <v>7</v>
      </c>
      <c r="E385" s="18" t="s">
        <v>1391</v>
      </c>
      <c r="F385" s="18" t="s">
        <v>1439</v>
      </c>
      <c r="G385" s="36" t="s">
        <v>1429</v>
      </c>
      <c r="H385" s="18" t="s">
        <v>1431</v>
      </c>
    </row>
    <row r="386" spans="1:8" x14ac:dyDescent="0.25">
      <c r="A386" s="25" t="s">
        <v>737</v>
      </c>
      <c r="B386" s="26" t="s">
        <v>736</v>
      </c>
      <c r="C386" s="25"/>
      <c r="D386" s="25" t="s">
        <v>7</v>
      </c>
      <c r="E386" s="25" t="s">
        <v>1391</v>
      </c>
      <c r="F386" s="18" t="s">
        <v>1439</v>
      </c>
      <c r="G386" s="36" t="s">
        <v>1429</v>
      </c>
      <c r="H386" s="25" t="s">
        <v>1431</v>
      </c>
    </row>
    <row r="387" spans="1:8" x14ac:dyDescent="0.25">
      <c r="A387" s="25" t="s">
        <v>739</v>
      </c>
      <c r="B387" s="26" t="s">
        <v>738</v>
      </c>
      <c r="C387" s="25"/>
      <c r="D387" s="25" t="s">
        <v>29</v>
      </c>
      <c r="E387" s="25" t="s">
        <v>1394</v>
      </c>
      <c r="F387" s="25" t="s">
        <v>1441</v>
      </c>
      <c r="G387" s="25" t="s">
        <v>30</v>
      </c>
      <c r="H387" s="25" t="s">
        <v>1432</v>
      </c>
    </row>
    <row r="388" spans="1:8" x14ac:dyDescent="0.25">
      <c r="A388" s="28" t="s">
        <v>741</v>
      </c>
      <c r="B388" s="29" t="s">
        <v>740</v>
      </c>
      <c r="C388" s="28"/>
      <c r="D388" s="28" t="s">
        <v>55</v>
      </c>
      <c r="E388" s="28" t="s">
        <v>1388</v>
      </c>
      <c r="F388" s="32" t="s">
        <v>1437</v>
      </c>
      <c r="G388" s="25" t="s">
        <v>1423</v>
      </c>
      <c r="H388" s="28" t="s">
        <v>1430</v>
      </c>
    </row>
    <row r="389" spans="1:8" x14ac:dyDescent="0.25">
      <c r="A389" s="23" t="s">
        <v>743</v>
      </c>
      <c r="B389" s="22" t="s">
        <v>742</v>
      </c>
      <c r="C389" s="23"/>
      <c r="D389" s="23" t="s">
        <v>10</v>
      </c>
      <c r="E389" s="23" t="s">
        <v>1398</v>
      </c>
      <c r="F389" s="23" t="s">
        <v>1442</v>
      </c>
      <c r="G389" s="23" t="s">
        <v>1422</v>
      </c>
      <c r="H389" s="23" t="s">
        <v>1432</v>
      </c>
    </row>
    <row r="390" spans="1:8" x14ac:dyDescent="0.25">
      <c r="A390" s="28" t="s">
        <v>745</v>
      </c>
      <c r="B390" s="29" t="s">
        <v>744</v>
      </c>
      <c r="C390" s="28"/>
      <c r="D390" s="31" t="s">
        <v>4</v>
      </c>
      <c r="E390" s="28" t="s">
        <v>1389</v>
      </c>
      <c r="F390" s="28" t="s">
        <v>1438</v>
      </c>
      <c r="G390" s="28" t="s">
        <v>1423</v>
      </c>
      <c r="H390" s="28" t="s">
        <v>1430</v>
      </c>
    </row>
    <row r="391" spans="1:8" x14ac:dyDescent="0.25">
      <c r="A391" s="36" t="s">
        <v>747</v>
      </c>
      <c r="B391" s="37" t="s">
        <v>746</v>
      </c>
      <c r="C391" s="36"/>
      <c r="D391" s="36" t="s">
        <v>36</v>
      </c>
      <c r="E391" s="36" t="s">
        <v>1395</v>
      </c>
      <c r="F391" s="25" t="s">
        <v>1441</v>
      </c>
      <c r="G391" s="25" t="s">
        <v>30</v>
      </c>
      <c r="H391" s="36" t="s">
        <v>1432</v>
      </c>
    </row>
    <row r="392" spans="1:8" x14ac:dyDescent="0.25">
      <c r="A392" s="36" t="s">
        <v>749</v>
      </c>
      <c r="B392" s="37" t="s">
        <v>748</v>
      </c>
      <c r="C392" s="36"/>
      <c r="D392" s="36" t="s">
        <v>13</v>
      </c>
      <c r="E392" s="36" t="s">
        <v>1393</v>
      </c>
      <c r="F392" s="36" t="s">
        <v>1440</v>
      </c>
      <c r="G392" s="36" t="s">
        <v>1424</v>
      </c>
      <c r="H392" s="36" t="s">
        <v>1432</v>
      </c>
    </row>
    <row r="393" spans="1:8" x14ac:dyDescent="0.25">
      <c r="A393" s="28" t="s">
        <v>751</v>
      </c>
      <c r="B393" s="29" t="s">
        <v>750</v>
      </c>
      <c r="C393" s="28"/>
      <c r="D393" s="28" t="s">
        <v>4</v>
      </c>
      <c r="E393" s="28" t="s">
        <v>1389</v>
      </c>
      <c r="F393" s="28" t="s">
        <v>1438</v>
      </c>
      <c r="G393" s="28" t="s">
        <v>1423</v>
      </c>
      <c r="H393" s="28" t="s">
        <v>1430</v>
      </c>
    </row>
    <row r="394" spans="1:8" x14ac:dyDescent="0.25">
      <c r="A394" s="36" t="s">
        <v>753</v>
      </c>
      <c r="B394" s="37" t="s">
        <v>752</v>
      </c>
      <c r="C394" s="36"/>
      <c r="D394" s="36" t="s">
        <v>13</v>
      </c>
      <c r="E394" s="36" t="s">
        <v>1393</v>
      </c>
      <c r="F394" s="36" t="s">
        <v>1440</v>
      </c>
      <c r="G394" s="36" t="s">
        <v>1424</v>
      </c>
      <c r="H394" s="36" t="s">
        <v>1432</v>
      </c>
    </row>
    <row r="395" spans="1:8" x14ac:dyDescent="0.25">
      <c r="A395" s="36" t="s">
        <v>755</v>
      </c>
      <c r="B395" s="37" t="s">
        <v>754</v>
      </c>
      <c r="C395" s="36"/>
      <c r="D395" s="36" t="s">
        <v>13</v>
      </c>
      <c r="E395" s="36" t="s">
        <v>1393</v>
      </c>
      <c r="F395" s="36" t="s">
        <v>1440</v>
      </c>
      <c r="G395" s="36" t="s">
        <v>1424</v>
      </c>
      <c r="H395" s="36" t="s">
        <v>1432</v>
      </c>
    </row>
    <row r="396" spans="1:8" x14ac:dyDescent="0.25">
      <c r="A396" s="15" t="s">
        <v>1340</v>
      </c>
      <c r="B396" s="16" t="s">
        <v>756</v>
      </c>
      <c r="C396" s="15"/>
      <c r="D396" s="15" t="s">
        <v>7</v>
      </c>
      <c r="E396" s="15" t="s">
        <v>1391</v>
      </c>
      <c r="F396" s="18" t="s">
        <v>1439</v>
      </c>
      <c r="G396" s="36" t="s">
        <v>1429</v>
      </c>
      <c r="H396" s="15" t="s">
        <v>1431</v>
      </c>
    </row>
    <row r="397" spans="1:8" x14ac:dyDescent="0.25">
      <c r="A397" s="18" t="s">
        <v>1341</v>
      </c>
      <c r="B397" s="19" t="s">
        <v>757</v>
      </c>
      <c r="C397" s="18" t="s">
        <v>1409</v>
      </c>
      <c r="D397" s="18" t="s">
        <v>61</v>
      </c>
      <c r="E397" s="18" t="s">
        <v>1396</v>
      </c>
      <c r="F397" s="18" t="s">
        <v>1444</v>
      </c>
      <c r="G397" s="18" t="s">
        <v>1429</v>
      </c>
      <c r="H397" s="18" t="s">
        <v>1431</v>
      </c>
    </row>
    <row r="398" spans="1:8" x14ac:dyDescent="0.25">
      <c r="A398" s="23" t="s">
        <v>1342</v>
      </c>
      <c r="B398" s="22" t="s">
        <v>758</v>
      </c>
      <c r="C398" s="23"/>
      <c r="D398" s="23" t="s">
        <v>10</v>
      </c>
      <c r="E398" s="23" t="s">
        <v>1398</v>
      </c>
      <c r="F398" s="23" t="s">
        <v>1442</v>
      </c>
      <c r="G398" s="23" t="s">
        <v>1422</v>
      </c>
      <c r="H398" s="23" t="s">
        <v>1432</v>
      </c>
    </row>
    <row r="399" spans="1:8" x14ac:dyDescent="0.25">
      <c r="A399" s="28" t="s">
        <v>760</v>
      </c>
      <c r="B399" s="29" t="s">
        <v>759</v>
      </c>
      <c r="C399" s="28"/>
      <c r="D399" s="28" t="s">
        <v>4</v>
      </c>
      <c r="E399" s="28" t="s">
        <v>1389</v>
      </c>
      <c r="F399" s="28" t="s">
        <v>1438</v>
      </c>
      <c r="G399" s="28" t="s">
        <v>1423</v>
      </c>
      <c r="H399" s="28" t="s">
        <v>1430</v>
      </c>
    </row>
    <row r="400" spans="1:8" x14ac:dyDescent="0.25">
      <c r="A400" s="25" t="s">
        <v>762</v>
      </c>
      <c r="B400" s="26" t="s">
        <v>761</v>
      </c>
      <c r="C400" s="25"/>
      <c r="D400" s="25" t="s">
        <v>29</v>
      </c>
      <c r="E400" s="25" t="s">
        <v>1394</v>
      </c>
      <c r="F400" s="25" t="s">
        <v>1441</v>
      </c>
      <c r="G400" s="25" t="s">
        <v>30</v>
      </c>
      <c r="H400" s="25" t="s">
        <v>1432</v>
      </c>
    </row>
    <row r="401" spans="1:8" x14ac:dyDescent="0.25">
      <c r="A401" s="20" t="s">
        <v>764</v>
      </c>
      <c r="B401" s="19" t="s">
        <v>763</v>
      </c>
      <c r="C401" s="20"/>
      <c r="D401" s="18" t="s">
        <v>7</v>
      </c>
      <c r="E401" s="18" t="s">
        <v>1391</v>
      </c>
      <c r="F401" s="18" t="s">
        <v>1439</v>
      </c>
      <c r="G401" s="36" t="s">
        <v>1429</v>
      </c>
      <c r="H401" s="18" t="s">
        <v>1431</v>
      </c>
    </row>
    <row r="402" spans="1:8" x14ac:dyDescent="0.25">
      <c r="A402" s="36" t="s">
        <v>766</v>
      </c>
      <c r="B402" s="37" t="s">
        <v>765</v>
      </c>
      <c r="C402" s="36"/>
      <c r="D402" s="36" t="s">
        <v>13</v>
      </c>
      <c r="E402" s="36" t="s">
        <v>1393</v>
      </c>
      <c r="F402" s="36" t="s">
        <v>1440</v>
      </c>
      <c r="G402" s="36" t="s">
        <v>1424</v>
      </c>
      <c r="H402" s="36" t="s">
        <v>1432</v>
      </c>
    </row>
    <row r="403" spans="1:8" x14ac:dyDescent="0.25">
      <c r="A403" s="36" t="s">
        <v>768</v>
      </c>
      <c r="B403" s="37" t="s">
        <v>767</v>
      </c>
      <c r="C403" s="36"/>
      <c r="D403" s="36" t="s">
        <v>13</v>
      </c>
      <c r="E403" s="36" t="s">
        <v>1393</v>
      </c>
      <c r="F403" s="36" t="s">
        <v>1440</v>
      </c>
      <c r="G403" s="36" t="s">
        <v>1424</v>
      </c>
      <c r="H403" s="36" t="s">
        <v>1432</v>
      </c>
    </row>
    <row r="404" spans="1:8" x14ac:dyDescent="0.25">
      <c r="A404" s="25" t="s">
        <v>770</v>
      </c>
      <c r="B404" s="26" t="s">
        <v>769</v>
      </c>
      <c r="C404" s="25"/>
      <c r="D404" s="25" t="s">
        <v>7</v>
      </c>
      <c r="E404" s="25" t="s">
        <v>1391</v>
      </c>
      <c r="F404" s="18" t="s">
        <v>1439</v>
      </c>
      <c r="G404" s="36" t="s">
        <v>1429</v>
      </c>
      <c r="H404" s="25" t="s">
        <v>1431</v>
      </c>
    </row>
    <row r="405" spans="1:8" x14ac:dyDescent="0.25">
      <c r="A405" s="18" t="s">
        <v>772</v>
      </c>
      <c r="B405" s="19" t="s">
        <v>771</v>
      </c>
      <c r="C405" s="18"/>
      <c r="D405" s="18" t="s">
        <v>7</v>
      </c>
      <c r="E405" s="18" t="s">
        <v>1391</v>
      </c>
      <c r="F405" s="18" t="s">
        <v>1439</v>
      </c>
      <c r="G405" s="36" t="s">
        <v>1429</v>
      </c>
      <c r="H405" s="18" t="s">
        <v>1431</v>
      </c>
    </row>
    <row r="406" spans="1:8" x14ac:dyDescent="0.25">
      <c r="A406" s="23" t="s">
        <v>774</v>
      </c>
      <c r="B406" s="22" t="s">
        <v>773</v>
      </c>
      <c r="C406" s="23" t="s">
        <v>1400</v>
      </c>
      <c r="D406" s="23" t="s">
        <v>10</v>
      </c>
      <c r="E406" s="23" t="s">
        <v>1398</v>
      </c>
      <c r="F406" s="23" t="s">
        <v>1442</v>
      </c>
      <c r="G406" s="23" t="s">
        <v>1443</v>
      </c>
      <c r="H406" s="23" t="s">
        <v>1432</v>
      </c>
    </row>
    <row r="407" spans="1:8" x14ac:dyDescent="0.25">
      <c r="A407" s="32" t="s">
        <v>776</v>
      </c>
      <c r="B407" s="33" t="s">
        <v>775</v>
      </c>
      <c r="C407" s="32"/>
      <c r="D407" s="32" t="s">
        <v>48</v>
      </c>
      <c r="E407" s="32" t="s">
        <v>1387</v>
      </c>
      <c r="F407" s="32" t="s">
        <v>1437</v>
      </c>
      <c r="G407" s="32" t="s">
        <v>1422</v>
      </c>
      <c r="H407" s="32" t="s">
        <v>1430</v>
      </c>
    </row>
    <row r="408" spans="1:8" x14ac:dyDescent="0.25">
      <c r="A408" s="28" t="s">
        <v>778</v>
      </c>
      <c r="B408" s="29" t="s">
        <v>777</v>
      </c>
      <c r="C408" s="28"/>
      <c r="D408" s="28" t="s">
        <v>4</v>
      </c>
      <c r="E408" s="28" t="s">
        <v>1389</v>
      </c>
      <c r="F408" s="28" t="s">
        <v>1438</v>
      </c>
      <c r="G408" s="28" t="s">
        <v>1423</v>
      </c>
      <c r="H408" s="28" t="s">
        <v>1430</v>
      </c>
    </row>
    <row r="409" spans="1:8" x14ac:dyDescent="0.25">
      <c r="A409" s="25" t="s">
        <v>780</v>
      </c>
      <c r="B409" s="26" t="s">
        <v>779</v>
      </c>
      <c r="C409" s="25"/>
      <c r="D409" s="25" t="s">
        <v>55</v>
      </c>
      <c r="E409" s="25" t="s">
        <v>1388</v>
      </c>
      <c r="F409" s="32" t="s">
        <v>1437</v>
      </c>
      <c r="G409" s="25" t="s">
        <v>1423</v>
      </c>
      <c r="H409" s="25" t="s">
        <v>1430</v>
      </c>
    </row>
    <row r="410" spans="1:8" x14ac:dyDescent="0.25">
      <c r="A410" s="18" t="s">
        <v>241</v>
      </c>
      <c r="B410" s="19" t="s">
        <v>240</v>
      </c>
      <c r="C410" s="18" t="s">
        <v>242</v>
      </c>
      <c r="D410" s="18" t="s">
        <v>26</v>
      </c>
      <c r="E410" s="18" t="s">
        <v>1390</v>
      </c>
      <c r="F410" s="18" t="s">
        <v>1444</v>
      </c>
      <c r="G410" s="18" t="s">
        <v>1429</v>
      </c>
      <c r="H410" s="18" t="s">
        <v>1431</v>
      </c>
    </row>
    <row r="411" spans="1:8" x14ac:dyDescent="0.25">
      <c r="A411" s="25" t="s">
        <v>782</v>
      </c>
      <c r="B411" s="26" t="s">
        <v>781</v>
      </c>
      <c r="C411" s="25"/>
      <c r="D411" s="25" t="s">
        <v>29</v>
      </c>
      <c r="E411" s="25" t="s">
        <v>1394</v>
      </c>
      <c r="F411" s="25" t="s">
        <v>1441</v>
      </c>
      <c r="G411" s="25" t="s">
        <v>30</v>
      </c>
      <c r="H411" s="25" t="s">
        <v>1432</v>
      </c>
    </row>
    <row r="412" spans="1:8" x14ac:dyDescent="0.25">
      <c r="A412" s="28" t="s">
        <v>784</v>
      </c>
      <c r="B412" s="29" t="s">
        <v>783</v>
      </c>
      <c r="C412" s="28"/>
      <c r="D412" s="28" t="s">
        <v>4</v>
      </c>
      <c r="E412" s="28" t="s">
        <v>1389</v>
      </c>
      <c r="F412" s="28" t="s">
        <v>1438</v>
      </c>
      <c r="G412" s="28" t="s">
        <v>1423</v>
      </c>
      <c r="H412" s="28" t="s">
        <v>1430</v>
      </c>
    </row>
    <row r="413" spans="1:8" x14ac:dyDescent="0.25">
      <c r="A413" s="25" t="s">
        <v>786</v>
      </c>
      <c r="B413" s="26" t="s">
        <v>785</v>
      </c>
      <c r="C413" s="25"/>
      <c r="D413" s="25" t="s">
        <v>7</v>
      </c>
      <c r="E413" s="25" t="s">
        <v>1391</v>
      </c>
      <c r="F413" s="18" t="s">
        <v>1439</v>
      </c>
      <c r="G413" s="36" t="s">
        <v>1429</v>
      </c>
      <c r="H413" s="25" t="s">
        <v>1431</v>
      </c>
    </row>
    <row r="414" spans="1:8" x14ac:dyDescent="0.25">
      <c r="A414" s="25" t="s">
        <v>788</v>
      </c>
      <c r="B414" s="26" t="s">
        <v>787</v>
      </c>
      <c r="C414" s="25"/>
      <c r="D414" s="25" t="s">
        <v>29</v>
      </c>
      <c r="E414" s="25" t="s">
        <v>1394</v>
      </c>
      <c r="F414" s="25" t="s">
        <v>1441</v>
      </c>
      <c r="G414" s="25" t="s">
        <v>30</v>
      </c>
      <c r="H414" s="25" t="s">
        <v>1432</v>
      </c>
    </row>
    <row r="415" spans="1:8" x14ac:dyDescent="0.25">
      <c r="A415" s="25" t="s">
        <v>790</v>
      </c>
      <c r="B415" s="26" t="s">
        <v>789</v>
      </c>
      <c r="C415" s="25"/>
      <c r="D415" s="25" t="s">
        <v>7</v>
      </c>
      <c r="E415" s="25" t="s">
        <v>1391</v>
      </c>
      <c r="F415" s="18" t="s">
        <v>1439</v>
      </c>
      <c r="G415" s="36" t="s">
        <v>1429</v>
      </c>
      <c r="H415" s="25" t="s">
        <v>1431</v>
      </c>
    </row>
    <row r="416" spans="1:8" x14ac:dyDescent="0.25">
      <c r="A416" s="36" t="s">
        <v>792</v>
      </c>
      <c r="B416" s="37" t="s">
        <v>791</v>
      </c>
      <c r="C416" s="36"/>
      <c r="D416" s="36" t="s">
        <v>13</v>
      </c>
      <c r="E416" s="36" t="s">
        <v>1393</v>
      </c>
      <c r="F416" s="36" t="s">
        <v>1440</v>
      </c>
      <c r="G416" s="36" t="s">
        <v>1424</v>
      </c>
      <c r="H416" s="36" t="s">
        <v>1432</v>
      </c>
    </row>
    <row r="417" spans="1:8" x14ac:dyDescent="0.25">
      <c r="A417" s="18" t="s">
        <v>794</v>
      </c>
      <c r="B417" s="19" t="s">
        <v>793</v>
      </c>
      <c r="C417" s="18"/>
      <c r="D417" s="18" t="s">
        <v>7</v>
      </c>
      <c r="E417" s="18" t="s">
        <v>1391</v>
      </c>
      <c r="F417" s="18" t="s">
        <v>1439</v>
      </c>
      <c r="G417" s="36" t="s">
        <v>1429</v>
      </c>
      <c r="H417" s="18" t="s">
        <v>1431</v>
      </c>
    </row>
    <row r="418" spans="1:8" x14ac:dyDescent="0.25">
      <c r="A418" s="18" t="s">
        <v>796</v>
      </c>
      <c r="B418" s="19" t="s">
        <v>795</v>
      </c>
      <c r="C418" s="18"/>
      <c r="D418" s="18" t="s">
        <v>61</v>
      </c>
      <c r="E418" s="18" t="s">
        <v>1396</v>
      </c>
      <c r="F418" s="18" t="s">
        <v>1444</v>
      </c>
      <c r="G418" s="18" t="s">
        <v>1429</v>
      </c>
      <c r="H418" s="18" t="s">
        <v>1431</v>
      </c>
    </row>
    <row r="419" spans="1:8" x14ac:dyDescent="0.25">
      <c r="A419" s="28" t="s">
        <v>798</v>
      </c>
      <c r="B419" s="29" t="s">
        <v>797</v>
      </c>
      <c r="C419" s="28" t="s">
        <v>1410</v>
      </c>
      <c r="D419" s="28" t="s">
        <v>4</v>
      </c>
      <c r="E419" s="28" t="s">
        <v>1389</v>
      </c>
      <c r="F419" s="28" t="s">
        <v>1438</v>
      </c>
      <c r="G419" s="28" t="s">
        <v>1423</v>
      </c>
      <c r="H419" s="28" t="s">
        <v>1430</v>
      </c>
    </row>
    <row r="420" spans="1:8" x14ac:dyDescent="0.25">
      <c r="A420" s="25" t="s">
        <v>802</v>
      </c>
      <c r="B420" s="26" t="s">
        <v>801</v>
      </c>
      <c r="C420" s="25"/>
      <c r="D420" s="25" t="s">
        <v>29</v>
      </c>
      <c r="E420" s="25" t="s">
        <v>1394</v>
      </c>
      <c r="F420" s="25" t="s">
        <v>1441</v>
      </c>
      <c r="G420" s="25" t="s">
        <v>30</v>
      </c>
      <c r="H420" s="25" t="s">
        <v>1432</v>
      </c>
    </row>
    <row r="421" spans="1:8" x14ac:dyDescent="0.25">
      <c r="A421" s="18" t="s">
        <v>800</v>
      </c>
      <c r="B421" s="19" t="s">
        <v>799</v>
      </c>
      <c r="C421" s="18"/>
      <c r="D421" s="18" t="s">
        <v>26</v>
      </c>
      <c r="E421" s="18" t="s">
        <v>1390</v>
      </c>
      <c r="F421" s="18" t="s">
        <v>1444</v>
      </c>
      <c r="G421" s="18" t="s">
        <v>1429</v>
      </c>
      <c r="H421" s="18" t="s">
        <v>1431</v>
      </c>
    </row>
    <row r="422" spans="1:8" x14ac:dyDescent="0.25">
      <c r="A422" s="32" t="s">
        <v>1343</v>
      </c>
      <c r="B422" s="33" t="s">
        <v>803</v>
      </c>
      <c r="C422" s="32"/>
      <c r="D422" s="18" t="s">
        <v>76</v>
      </c>
      <c r="E422" s="32" t="s">
        <v>1397</v>
      </c>
      <c r="F422" s="32" t="s">
        <v>1436</v>
      </c>
      <c r="G422" s="32" t="s">
        <v>1445</v>
      </c>
      <c r="H422" s="18" t="s">
        <v>1431</v>
      </c>
    </row>
    <row r="423" spans="1:8" x14ac:dyDescent="0.25">
      <c r="A423" s="36" t="s">
        <v>805</v>
      </c>
      <c r="B423" s="37" t="s">
        <v>804</v>
      </c>
      <c r="C423" s="36"/>
      <c r="D423" s="36" t="s">
        <v>13</v>
      </c>
      <c r="E423" s="36" t="s">
        <v>1393</v>
      </c>
      <c r="F423" s="36" t="s">
        <v>1440</v>
      </c>
      <c r="G423" s="36" t="s">
        <v>1424</v>
      </c>
      <c r="H423" s="36" t="s">
        <v>1432</v>
      </c>
    </row>
    <row r="424" spans="1:8" x14ac:dyDescent="0.25">
      <c r="A424" s="25" t="s">
        <v>1344</v>
      </c>
      <c r="B424" s="26" t="s">
        <v>806</v>
      </c>
      <c r="C424" s="25"/>
      <c r="D424" s="25" t="s">
        <v>29</v>
      </c>
      <c r="E424" s="25" t="s">
        <v>1394</v>
      </c>
      <c r="F424" s="25" t="s">
        <v>1441</v>
      </c>
      <c r="G424" s="25" t="s">
        <v>30</v>
      </c>
      <c r="H424" s="25" t="s">
        <v>1432</v>
      </c>
    </row>
    <row r="425" spans="1:8" x14ac:dyDescent="0.25">
      <c r="A425" s="18" t="s">
        <v>1345</v>
      </c>
      <c r="B425" s="19" t="s">
        <v>807</v>
      </c>
      <c r="C425" s="18"/>
      <c r="D425" s="18" t="s">
        <v>26</v>
      </c>
      <c r="E425" s="18" t="s">
        <v>1390</v>
      </c>
      <c r="F425" s="18" t="s">
        <v>1444</v>
      </c>
      <c r="G425" s="18" t="s">
        <v>1429</v>
      </c>
      <c r="H425" s="18" t="s">
        <v>1431</v>
      </c>
    </row>
    <row r="426" spans="1:8" x14ac:dyDescent="0.25">
      <c r="A426" s="28" t="s">
        <v>1346</v>
      </c>
      <c r="B426" s="29" t="s">
        <v>808</v>
      </c>
      <c r="C426" s="28"/>
      <c r="D426" s="28" t="s">
        <v>4</v>
      </c>
      <c r="E426" s="28" t="s">
        <v>1389</v>
      </c>
      <c r="F426" s="28" t="s">
        <v>1438</v>
      </c>
      <c r="G426" s="28" t="s">
        <v>1423</v>
      </c>
      <c r="H426" s="28" t="s">
        <v>1430</v>
      </c>
    </row>
    <row r="427" spans="1:8" x14ac:dyDescent="0.25">
      <c r="A427" s="28" t="s">
        <v>810</v>
      </c>
      <c r="B427" s="29" t="s">
        <v>809</v>
      </c>
      <c r="C427" s="28"/>
      <c r="D427" s="28" t="s">
        <v>4</v>
      </c>
      <c r="E427" s="28" t="s">
        <v>1389</v>
      </c>
      <c r="F427" s="28" t="s">
        <v>1438</v>
      </c>
      <c r="G427" s="28" t="s">
        <v>1423</v>
      </c>
      <c r="H427" s="28" t="s">
        <v>1430</v>
      </c>
    </row>
    <row r="428" spans="1:8" x14ac:dyDescent="0.25">
      <c r="A428" s="25" t="s">
        <v>812</v>
      </c>
      <c r="B428" s="26" t="s">
        <v>811</v>
      </c>
      <c r="C428" s="25"/>
      <c r="D428" s="25" t="s">
        <v>55</v>
      </c>
      <c r="E428" s="25" t="s">
        <v>1388</v>
      </c>
      <c r="F428" s="32" t="s">
        <v>1437</v>
      </c>
      <c r="G428" s="25" t="s">
        <v>1423</v>
      </c>
      <c r="H428" s="25" t="s">
        <v>1430</v>
      </c>
    </row>
    <row r="429" spans="1:8" x14ac:dyDescent="0.25">
      <c r="A429" s="25" t="s">
        <v>1347</v>
      </c>
      <c r="B429" s="26" t="s">
        <v>813</v>
      </c>
      <c r="C429" s="25"/>
      <c r="D429" s="25" t="s">
        <v>55</v>
      </c>
      <c r="E429" s="25" t="s">
        <v>1388</v>
      </c>
      <c r="F429" s="32" t="s">
        <v>1437</v>
      </c>
      <c r="G429" s="25" t="s">
        <v>1423</v>
      </c>
      <c r="H429" s="25" t="s">
        <v>1430</v>
      </c>
    </row>
    <row r="430" spans="1:8" x14ac:dyDescent="0.25">
      <c r="A430" s="18" t="s">
        <v>815</v>
      </c>
      <c r="B430" s="19" t="s">
        <v>814</v>
      </c>
      <c r="C430" s="18"/>
      <c r="D430" s="18" t="s">
        <v>61</v>
      </c>
      <c r="E430" s="18" t="s">
        <v>1396</v>
      </c>
      <c r="F430" s="18" t="s">
        <v>1444</v>
      </c>
      <c r="G430" s="18" t="s">
        <v>1429</v>
      </c>
      <c r="H430" s="18" t="s">
        <v>1431</v>
      </c>
    </row>
    <row r="431" spans="1:8" x14ac:dyDescent="0.25">
      <c r="A431" s="25" t="s">
        <v>817</v>
      </c>
      <c r="B431" s="26" t="s">
        <v>816</v>
      </c>
      <c r="C431" s="25"/>
      <c r="D431" s="25" t="s">
        <v>29</v>
      </c>
      <c r="E431" s="25" t="s">
        <v>1394</v>
      </c>
      <c r="F431" s="25" t="s">
        <v>1441</v>
      </c>
      <c r="G431" s="25" t="s">
        <v>30</v>
      </c>
      <c r="H431" s="25" t="s">
        <v>1432</v>
      </c>
    </row>
    <row r="432" spans="1:8" x14ac:dyDescent="0.25">
      <c r="A432" s="18" t="s">
        <v>819</v>
      </c>
      <c r="B432" s="19" t="s">
        <v>818</v>
      </c>
      <c r="C432" s="18"/>
      <c r="D432" s="18" t="s">
        <v>197</v>
      </c>
      <c r="E432" s="18" t="s">
        <v>1403</v>
      </c>
      <c r="F432" s="18"/>
      <c r="G432" s="18" t="s">
        <v>1429</v>
      </c>
      <c r="H432" s="18" t="s">
        <v>1431</v>
      </c>
    </row>
    <row r="433" spans="1:8" x14ac:dyDescent="0.25">
      <c r="A433" s="25" t="s">
        <v>821</v>
      </c>
      <c r="B433" s="26" t="s">
        <v>820</v>
      </c>
      <c r="C433" s="25"/>
      <c r="D433" s="25" t="s">
        <v>7</v>
      </c>
      <c r="E433" s="25" t="s">
        <v>1391</v>
      </c>
      <c r="F433" s="18" t="s">
        <v>1439</v>
      </c>
      <c r="G433" s="36" t="s">
        <v>1429</v>
      </c>
      <c r="H433" s="25" t="s">
        <v>1431</v>
      </c>
    </row>
    <row r="434" spans="1:8" x14ac:dyDescent="0.25">
      <c r="A434" s="36" t="s">
        <v>823</v>
      </c>
      <c r="B434" s="37" t="s">
        <v>822</v>
      </c>
      <c r="C434" s="36"/>
      <c r="D434" s="36" t="s">
        <v>13</v>
      </c>
      <c r="E434" s="36" t="s">
        <v>1393</v>
      </c>
      <c r="F434" s="36" t="s">
        <v>1440</v>
      </c>
      <c r="G434" s="36" t="s">
        <v>1424</v>
      </c>
      <c r="H434" s="36" t="s">
        <v>1432</v>
      </c>
    </row>
    <row r="435" spans="1:8" x14ac:dyDescent="0.25">
      <c r="A435" s="28" t="s">
        <v>825</v>
      </c>
      <c r="B435" s="29" t="s">
        <v>824</v>
      </c>
      <c r="C435" s="28"/>
      <c r="D435" s="31" t="s">
        <v>4</v>
      </c>
      <c r="E435" s="28" t="s">
        <v>1389</v>
      </c>
      <c r="F435" s="28" t="s">
        <v>1438</v>
      </c>
      <c r="G435" s="28" t="s">
        <v>1423</v>
      </c>
      <c r="H435" s="28" t="s">
        <v>1430</v>
      </c>
    </row>
    <row r="436" spans="1:8" x14ac:dyDescent="0.25">
      <c r="A436" s="28" t="s">
        <v>827</v>
      </c>
      <c r="B436" s="29" t="s">
        <v>826</v>
      </c>
      <c r="C436" s="28"/>
      <c r="D436" s="28" t="s">
        <v>4</v>
      </c>
      <c r="E436" s="28" t="s">
        <v>1389</v>
      </c>
      <c r="F436" s="28" t="s">
        <v>1438</v>
      </c>
      <c r="G436" s="28" t="s">
        <v>1423</v>
      </c>
      <c r="H436" s="28" t="s">
        <v>1430</v>
      </c>
    </row>
    <row r="437" spans="1:8" x14ac:dyDescent="0.25">
      <c r="A437" s="28" t="s">
        <v>1348</v>
      </c>
      <c r="B437" s="29" t="s">
        <v>828</v>
      </c>
      <c r="C437" s="28"/>
      <c r="D437" s="28" t="s">
        <v>4</v>
      </c>
      <c r="E437" s="28" t="s">
        <v>1389</v>
      </c>
      <c r="F437" s="28" t="s">
        <v>1438</v>
      </c>
      <c r="G437" s="28" t="s">
        <v>1423</v>
      </c>
      <c r="H437" s="28" t="s">
        <v>1430</v>
      </c>
    </row>
    <row r="438" spans="1:8" x14ac:dyDescent="0.25">
      <c r="A438" s="25" t="s">
        <v>830</v>
      </c>
      <c r="B438" s="26" t="s">
        <v>829</v>
      </c>
      <c r="C438" s="25"/>
      <c r="D438" s="25" t="s">
        <v>29</v>
      </c>
      <c r="E438" s="25" t="s">
        <v>1394</v>
      </c>
      <c r="F438" s="25" t="s">
        <v>1441</v>
      </c>
      <c r="G438" s="25" t="s">
        <v>30</v>
      </c>
      <c r="H438" s="25" t="s">
        <v>1432</v>
      </c>
    </row>
    <row r="439" spans="1:8" x14ac:dyDescent="0.25">
      <c r="A439" s="18" t="s">
        <v>832</v>
      </c>
      <c r="B439" s="19" t="s">
        <v>831</v>
      </c>
      <c r="C439" s="18"/>
      <c r="D439" s="18" t="s">
        <v>61</v>
      </c>
      <c r="E439" s="18" t="s">
        <v>1396</v>
      </c>
      <c r="F439" s="18" t="s">
        <v>1444</v>
      </c>
      <c r="G439" s="18" t="s">
        <v>1429</v>
      </c>
      <c r="H439" s="18" t="s">
        <v>1431</v>
      </c>
    </row>
    <row r="440" spans="1:8" x14ac:dyDescent="0.25">
      <c r="A440" s="18" t="s">
        <v>834</v>
      </c>
      <c r="B440" s="19" t="s">
        <v>833</v>
      </c>
      <c r="C440" s="18" t="s">
        <v>1409</v>
      </c>
      <c r="D440" s="18" t="s">
        <v>61</v>
      </c>
      <c r="E440" s="18" t="s">
        <v>1396</v>
      </c>
      <c r="F440" s="18" t="s">
        <v>1444</v>
      </c>
      <c r="G440" s="18" t="s">
        <v>1429</v>
      </c>
      <c r="H440" s="18" t="s">
        <v>1431</v>
      </c>
    </row>
    <row r="441" spans="1:8" x14ac:dyDescent="0.25">
      <c r="A441" s="36" t="s">
        <v>836</v>
      </c>
      <c r="B441" s="37" t="s">
        <v>835</v>
      </c>
      <c r="C441" s="36" t="s">
        <v>837</v>
      </c>
      <c r="D441" s="36" t="s">
        <v>13</v>
      </c>
      <c r="E441" s="36" t="s">
        <v>1393</v>
      </c>
      <c r="F441" s="36" t="s">
        <v>1440</v>
      </c>
      <c r="G441" s="36" t="s">
        <v>1424</v>
      </c>
      <c r="H441" s="36" t="s">
        <v>1432</v>
      </c>
    </row>
    <row r="442" spans="1:8" x14ac:dyDescent="0.25">
      <c r="A442" s="36" t="s">
        <v>839</v>
      </c>
      <c r="B442" s="37" t="s">
        <v>838</v>
      </c>
      <c r="C442" s="36" t="s">
        <v>126</v>
      </c>
      <c r="D442" s="36" t="s">
        <v>13</v>
      </c>
      <c r="E442" s="36" t="s">
        <v>1393</v>
      </c>
      <c r="F442" s="36" t="s">
        <v>1440</v>
      </c>
      <c r="G442" s="36" t="s">
        <v>1424</v>
      </c>
      <c r="H442" s="36" t="s">
        <v>1432</v>
      </c>
    </row>
    <row r="443" spans="1:8" x14ac:dyDescent="0.25">
      <c r="A443" s="15" t="s">
        <v>841</v>
      </c>
      <c r="B443" s="16" t="s">
        <v>840</v>
      </c>
      <c r="C443" s="15"/>
      <c r="D443" s="15" t="s">
        <v>7</v>
      </c>
      <c r="E443" s="15" t="s">
        <v>1391</v>
      </c>
      <c r="F443" s="18" t="s">
        <v>1439</v>
      </c>
      <c r="G443" s="36" t="s">
        <v>1429</v>
      </c>
      <c r="H443" s="15" t="s">
        <v>1431</v>
      </c>
    </row>
    <row r="444" spans="1:8" x14ac:dyDescent="0.25">
      <c r="A444" s="28" t="s">
        <v>843</v>
      </c>
      <c r="B444" s="29" t="s">
        <v>842</v>
      </c>
      <c r="C444" s="28" t="s">
        <v>1410</v>
      </c>
      <c r="D444" s="28" t="s">
        <v>4</v>
      </c>
      <c r="E444" s="28" t="s">
        <v>1389</v>
      </c>
      <c r="F444" s="28" t="s">
        <v>1438</v>
      </c>
      <c r="G444" s="28" t="s">
        <v>1423</v>
      </c>
      <c r="H444" s="28" t="s">
        <v>1430</v>
      </c>
    </row>
    <row r="445" spans="1:8" x14ac:dyDescent="0.25">
      <c r="A445" s="36" t="s">
        <v>845</v>
      </c>
      <c r="B445" s="37" t="s">
        <v>844</v>
      </c>
      <c r="C445" s="36"/>
      <c r="D445" s="36" t="s">
        <v>36</v>
      </c>
      <c r="E445" s="36" t="s">
        <v>1395</v>
      </c>
      <c r="F445" s="25" t="s">
        <v>1441</v>
      </c>
      <c r="G445" s="25" t="s">
        <v>30</v>
      </c>
      <c r="H445" s="36" t="s">
        <v>1432</v>
      </c>
    </row>
    <row r="446" spans="1:8" x14ac:dyDescent="0.25">
      <c r="A446" s="36" t="s">
        <v>847</v>
      </c>
      <c r="B446" s="37" t="s">
        <v>846</v>
      </c>
      <c r="C446" s="36"/>
      <c r="D446" s="36" t="s">
        <v>36</v>
      </c>
      <c r="E446" s="36" t="s">
        <v>1395</v>
      </c>
      <c r="F446" s="25" t="s">
        <v>1441</v>
      </c>
      <c r="G446" s="25" t="s">
        <v>30</v>
      </c>
      <c r="H446" s="36" t="s">
        <v>1432</v>
      </c>
    </row>
    <row r="447" spans="1:8" x14ac:dyDescent="0.25">
      <c r="A447" s="27" t="s">
        <v>849</v>
      </c>
      <c r="B447" s="26" t="s">
        <v>848</v>
      </c>
      <c r="C447" s="27"/>
      <c r="D447" s="25" t="s">
        <v>55</v>
      </c>
      <c r="E447" s="25" t="s">
        <v>1388</v>
      </c>
      <c r="F447" s="32" t="s">
        <v>1437</v>
      </c>
      <c r="G447" s="25" t="s">
        <v>1423</v>
      </c>
      <c r="H447" s="25" t="s">
        <v>1430</v>
      </c>
    </row>
    <row r="448" spans="1:8" x14ac:dyDescent="0.25">
      <c r="A448" s="23" t="s">
        <v>851</v>
      </c>
      <c r="B448" s="22" t="s">
        <v>850</v>
      </c>
      <c r="C448" s="23"/>
      <c r="D448" s="23" t="s">
        <v>10</v>
      </c>
      <c r="E448" s="23" t="s">
        <v>1398</v>
      </c>
      <c r="F448" s="23" t="s">
        <v>1442</v>
      </c>
      <c r="G448" s="23" t="s">
        <v>1422</v>
      </c>
      <c r="H448" s="23" t="s">
        <v>1432</v>
      </c>
    </row>
    <row r="449" spans="1:8" x14ac:dyDescent="0.25">
      <c r="A449" s="18" t="s">
        <v>853</v>
      </c>
      <c r="B449" s="19" t="s">
        <v>852</v>
      </c>
      <c r="C449" s="18"/>
      <c r="D449" s="18" t="s">
        <v>26</v>
      </c>
      <c r="E449" s="18" t="s">
        <v>1390</v>
      </c>
      <c r="F449" s="18" t="s">
        <v>1444</v>
      </c>
      <c r="G449" s="18" t="s">
        <v>1429</v>
      </c>
      <c r="H449" s="18" t="s">
        <v>1431</v>
      </c>
    </row>
    <row r="450" spans="1:8" x14ac:dyDescent="0.25">
      <c r="A450" s="21" t="s">
        <v>855</v>
      </c>
      <c r="B450" s="22" t="s">
        <v>854</v>
      </c>
      <c r="C450" s="21"/>
      <c r="D450" s="23" t="s">
        <v>10</v>
      </c>
      <c r="E450" s="23" t="s">
        <v>1398</v>
      </c>
      <c r="F450" s="23" t="s">
        <v>1442</v>
      </c>
      <c r="G450" s="23" t="s">
        <v>1443</v>
      </c>
      <c r="H450" s="23" t="s">
        <v>1432</v>
      </c>
    </row>
    <row r="451" spans="1:8" x14ac:dyDescent="0.25">
      <c r="A451" s="25" t="s">
        <v>1349</v>
      </c>
      <c r="B451" s="26" t="s">
        <v>856</v>
      </c>
      <c r="C451" s="25"/>
      <c r="D451" s="25" t="s">
        <v>55</v>
      </c>
      <c r="E451" s="25" t="s">
        <v>1388</v>
      </c>
      <c r="F451" s="32" t="s">
        <v>1437</v>
      </c>
      <c r="G451" s="25" t="s">
        <v>1423</v>
      </c>
      <c r="H451" s="25" t="s">
        <v>1430</v>
      </c>
    </row>
    <row r="452" spans="1:8" x14ac:dyDescent="0.25">
      <c r="A452" s="30" t="s">
        <v>858</v>
      </c>
      <c r="B452" s="29" t="s">
        <v>857</v>
      </c>
      <c r="C452" s="30"/>
      <c r="D452" s="28" t="s">
        <v>4</v>
      </c>
      <c r="E452" s="28" t="s">
        <v>1389</v>
      </c>
      <c r="F452" s="28" t="s">
        <v>1438</v>
      </c>
      <c r="G452" s="28" t="s">
        <v>1423</v>
      </c>
      <c r="H452" s="28" t="s">
        <v>1430</v>
      </c>
    </row>
    <row r="453" spans="1:8" x14ac:dyDescent="0.25">
      <c r="A453" s="25" t="s">
        <v>1350</v>
      </c>
      <c r="B453" s="26" t="s">
        <v>859</v>
      </c>
      <c r="C453" s="25"/>
      <c r="D453" s="25" t="s">
        <v>55</v>
      </c>
      <c r="E453" s="25" t="s">
        <v>1388</v>
      </c>
      <c r="F453" s="32" t="s">
        <v>1437</v>
      </c>
      <c r="G453" s="25" t="s">
        <v>1423</v>
      </c>
      <c r="H453" s="25" t="s">
        <v>1430</v>
      </c>
    </row>
    <row r="454" spans="1:8" x14ac:dyDescent="0.25">
      <c r="A454" s="28" t="s">
        <v>861</v>
      </c>
      <c r="B454" s="29" t="s">
        <v>860</v>
      </c>
      <c r="C454" s="28"/>
      <c r="D454" s="28" t="s">
        <v>4</v>
      </c>
      <c r="E454" s="28" t="s">
        <v>1389</v>
      </c>
      <c r="F454" s="28" t="s">
        <v>1438</v>
      </c>
      <c r="G454" s="28" t="s">
        <v>1423</v>
      </c>
      <c r="H454" s="28" t="s">
        <v>1430</v>
      </c>
    </row>
    <row r="455" spans="1:8" x14ac:dyDescent="0.25">
      <c r="A455" s="18" t="s">
        <v>1351</v>
      </c>
      <c r="B455" s="19" t="s">
        <v>862</v>
      </c>
      <c r="C455" s="18"/>
      <c r="D455" s="18" t="s">
        <v>7</v>
      </c>
      <c r="E455" s="18" t="s">
        <v>1391</v>
      </c>
      <c r="F455" s="18" t="s">
        <v>1439</v>
      </c>
      <c r="G455" s="36" t="s">
        <v>1429</v>
      </c>
      <c r="H455" s="18" t="s">
        <v>1431</v>
      </c>
    </row>
    <row r="456" spans="1:8" x14ac:dyDescent="0.25">
      <c r="A456" s="36" t="s">
        <v>1352</v>
      </c>
      <c r="B456" s="37" t="s">
        <v>863</v>
      </c>
      <c r="C456" s="36"/>
      <c r="D456" s="36" t="s">
        <v>13</v>
      </c>
      <c r="E456" s="36" t="s">
        <v>1393</v>
      </c>
      <c r="F456" s="36" t="s">
        <v>1440</v>
      </c>
      <c r="G456" s="36" t="s">
        <v>1424</v>
      </c>
      <c r="H456" s="36" t="s">
        <v>1432</v>
      </c>
    </row>
    <row r="457" spans="1:8" x14ac:dyDescent="0.25">
      <c r="A457" s="28" t="s">
        <v>1353</v>
      </c>
      <c r="B457" s="29" t="s">
        <v>864</v>
      </c>
      <c r="C457" s="28"/>
      <c r="D457" s="28" t="s">
        <v>4</v>
      </c>
      <c r="E457" s="28" t="s">
        <v>1389</v>
      </c>
      <c r="F457" s="28" t="s">
        <v>1438</v>
      </c>
      <c r="G457" s="28" t="s">
        <v>1423</v>
      </c>
      <c r="H457" s="28" t="s">
        <v>1430</v>
      </c>
    </row>
    <row r="458" spans="1:8" x14ac:dyDescent="0.25">
      <c r="A458" s="32" t="s">
        <v>866</v>
      </c>
      <c r="B458" s="33" t="s">
        <v>865</v>
      </c>
      <c r="C458" s="32" t="s">
        <v>866</v>
      </c>
      <c r="D458" s="32" t="s">
        <v>48</v>
      </c>
      <c r="E458" s="32" t="s">
        <v>1387</v>
      </c>
      <c r="F458" s="32" t="s">
        <v>1437</v>
      </c>
      <c r="G458" s="32" t="s">
        <v>1422</v>
      </c>
      <c r="H458" s="32" t="s">
        <v>1430</v>
      </c>
    </row>
    <row r="459" spans="1:8" x14ac:dyDescent="0.25">
      <c r="A459" s="32" t="s">
        <v>868</v>
      </c>
      <c r="B459" s="33" t="s">
        <v>867</v>
      </c>
      <c r="C459" s="32"/>
      <c r="D459" s="32" t="s">
        <v>48</v>
      </c>
      <c r="E459" s="32" t="s">
        <v>1387</v>
      </c>
      <c r="F459" s="32" t="s">
        <v>1437</v>
      </c>
      <c r="G459" s="32" t="s">
        <v>1422</v>
      </c>
      <c r="H459" s="32" t="s">
        <v>1430</v>
      </c>
    </row>
    <row r="460" spans="1:8" x14ac:dyDescent="0.25">
      <c r="A460" s="23" t="s">
        <v>870</v>
      </c>
      <c r="B460" s="22" t="s">
        <v>869</v>
      </c>
      <c r="C460" s="23"/>
      <c r="D460" s="23" t="s">
        <v>10</v>
      </c>
      <c r="E460" s="23" t="s">
        <v>1398</v>
      </c>
      <c r="F460" s="23" t="s">
        <v>1442</v>
      </c>
      <c r="G460" s="23" t="s">
        <v>1443</v>
      </c>
      <c r="H460" s="23" t="s">
        <v>1432</v>
      </c>
    </row>
    <row r="461" spans="1:8" x14ac:dyDescent="0.25">
      <c r="A461" s="36" t="s">
        <v>872</v>
      </c>
      <c r="B461" s="37" t="s">
        <v>871</v>
      </c>
      <c r="C461" s="36"/>
      <c r="D461" s="36" t="s">
        <v>36</v>
      </c>
      <c r="E461" s="36" t="s">
        <v>1395</v>
      </c>
      <c r="F461" s="25" t="s">
        <v>1441</v>
      </c>
      <c r="G461" s="25" t="s">
        <v>30</v>
      </c>
      <c r="H461" s="36" t="s">
        <v>1432</v>
      </c>
    </row>
    <row r="462" spans="1:8" x14ac:dyDescent="0.25">
      <c r="A462" s="23" t="s">
        <v>874</v>
      </c>
      <c r="B462" s="22" t="s">
        <v>873</v>
      </c>
      <c r="C462" s="23" t="s">
        <v>1401</v>
      </c>
      <c r="D462" s="23" t="s">
        <v>10</v>
      </c>
      <c r="E462" s="23" t="s">
        <v>1398</v>
      </c>
      <c r="F462" s="23" t="s">
        <v>1442</v>
      </c>
      <c r="G462" s="23" t="s">
        <v>1422</v>
      </c>
      <c r="H462" s="23" t="s">
        <v>1432</v>
      </c>
    </row>
    <row r="463" spans="1:8" x14ac:dyDescent="0.25">
      <c r="A463" s="18" t="s">
        <v>876</v>
      </c>
      <c r="B463" s="19" t="s">
        <v>875</v>
      </c>
      <c r="C463" s="18"/>
      <c r="D463" s="18" t="s">
        <v>61</v>
      </c>
      <c r="E463" s="18" t="s">
        <v>1396</v>
      </c>
      <c r="F463" s="18" t="s">
        <v>1444</v>
      </c>
      <c r="G463" s="18" t="s">
        <v>1429</v>
      </c>
      <c r="H463" s="18" t="s">
        <v>1431</v>
      </c>
    </row>
    <row r="464" spans="1:8" x14ac:dyDescent="0.25">
      <c r="A464" s="38" t="s">
        <v>878</v>
      </c>
      <c r="B464" s="37" t="s">
        <v>877</v>
      </c>
      <c r="C464" s="38"/>
      <c r="D464" s="36" t="s">
        <v>13</v>
      </c>
      <c r="E464" s="36" t="s">
        <v>1393</v>
      </c>
      <c r="F464" s="36" t="s">
        <v>1440</v>
      </c>
      <c r="G464" s="36" t="s">
        <v>1424</v>
      </c>
      <c r="H464" s="36" t="s">
        <v>1432</v>
      </c>
    </row>
    <row r="465" spans="1:8" x14ac:dyDescent="0.25">
      <c r="A465" s="23" t="s">
        <v>880</v>
      </c>
      <c r="B465" s="22" t="s">
        <v>879</v>
      </c>
      <c r="C465" s="23"/>
      <c r="D465" s="23" t="s">
        <v>10</v>
      </c>
      <c r="E465" s="23" t="s">
        <v>1398</v>
      </c>
      <c r="F465" s="23" t="s">
        <v>1442</v>
      </c>
      <c r="G465" s="23" t="s">
        <v>1422</v>
      </c>
      <c r="H465" s="23" t="s">
        <v>1432</v>
      </c>
    </row>
    <row r="466" spans="1:8" x14ac:dyDescent="0.25">
      <c r="A466" s="25" t="s">
        <v>1354</v>
      </c>
      <c r="B466" s="26" t="s">
        <v>881</v>
      </c>
      <c r="C466" s="25"/>
      <c r="D466" s="25" t="s">
        <v>55</v>
      </c>
      <c r="E466" s="25" t="s">
        <v>1388</v>
      </c>
      <c r="F466" s="32" t="s">
        <v>1437</v>
      </c>
      <c r="G466" s="25" t="s">
        <v>1423</v>
      </c>
      <c r="H466" s="25" t="s">
        <v>1430</v>
      </c>
    </row>
    <row r="467" spans="1:8" x14ac:dyDescent="0.25">
      <c r="A467" s="34" t="s">
        <v>1355</v>
      </c>
      <c r="B467" s="33" t="s">
        <v>882</v>
      </c>
      <c r="C467" s="34"/>
      <c r="D467" s="32" t="s">
        <v>48</v>
      </c>
      <c r="E467" s="32" t="s">
        <v>1387</v>
      </c>
      <c r="F467" s="32" t="s">
        <v>1437</v>
      </c>
      <c r="G467" s="32" t="s">
        <v>1422</v>
      </c>
      <c r="H467" s="32" t="s">
        <v>1430</v>
      </c>
    </row>
    <row r="468" spans="1:8" x14ac:dyDescent="0.25">
      <c r="A468" s="36" t="s">
        <v>884</v>
      </c>
      <c r="B468" s="37" t="s">
        <v>883</v>
      </c>
      <c r="C468" s="36"/>
      <c r="D468" s="36" t="s">
        <v>13</v>
      </c>
      <c r="E468" s="36" t="s">
        <v>1393</v>
      </c>
      <c r="F468" s="36" t="s">
        <v>1440</v>
      </c>
      <c r="G468" s="36" t="s">
        <v>1424</v>
      </c>
      <c r="H468" s="36" t="s">
        <v>1432</v>
      </c>
    </row>
    <row r="469" spans="1:8" x14ac:dyDescent="0.25">
      <c r="A469" s="25" t="s">
        <v>886</v>
      </c>
      <c r="B469" s="26" t="s">
        <v>885</v>
      </c>
      <c r="C469" s="25"/>
      <c r="D469" s="25" t="s">
        <v>7</v>
      </c>
      <c r="E469" s="25" t="s">
        <v>1391</v>
      </c>
      <c r="F469" s="18" t="s">
        <v>1439</v>
      </c>
      <c r="G469" s="36" t="s">
        <v>1429</v>
      </c>
      <c r="H469" s="25" t="s">
        <v>1431</v>
      </c>
    </row>
    <row r="470" spans="1:8" x14ac:dyDescent="0.25">
      <c r="A470" s="25" t="s">
        <v>888</v>
      </c>
      <c r="B470" s="26" t="s">
        <v>887</v>
      </c>
      <c r="C470" s="25"/>
      <c r="D470" s="25" t="s">
        <v>29</v>
      </c>
      <c r="E470" s="25" t="s">
        <v>1394</v>
      </c>
      <c r="F470" s="25" t="s">
        <v>1441</v>
      </c>
      <c r="G470" s="25" t="s">
        <v>30</v>
      </c>
      <c r="H470" s="25" t="s">
        <v>1432</v>
      </c>
    </row>
    <row r="471" spans="1:8" x14ac:dyDescent="0.25">
      <c r="A471" s="18" t="s">
        <v>890</v>
      </c>
      <c r="B471" s="19" t="s">
        <v>889</v>
      </c>
      <c r="C471" s="18"/>
      <c r="D471" s="18" t="s">
        <v>26</v>
      </c>
      <c r="E471" s="18" t="s">
        <v>1390</v>
      </c>
      <c r="F471" s="18" t="s">
        <v>1444</v>
      </c>
      <c r="G471" s="18" t="s">
        <v>1429</v>
      </c>
      <c r="H471" s="18" t="s">
        <v>1431</v>
      </c>
    </row>
    <row r="472" spans="1:8" x14ac:dyDescent="0.25">
      <c r="A472" s="32" t="s">
        <v>1356</v>
      </c>
      <c r="B472" s="33" t="s">
        <v>891</v>
      </c>
      <c r="C472" s="32"/>
      <c r="D472" s="32" t="s">
        <v>76</v>
      </c>
      <c r="E472" s="32" t="s">
        <v>1397</v>
      </c>
      <c r="F472" s="32" t="s">
        <v>1436</v>
      </c>
      <c r="G472" s="32" t="s">
        <v>1445</v>
      </c>
      <c r="H472" s="32" t="s">
        <v>1430</v>
      </c>
    </row>
    <row r="473" spans="1:8" x14ac:dyDescent="0.25">
      <c r="A473" s="23" t="s">
        <v>893</v>
      </c>
      <c r="B473" s="22" t="s">
        <v>892</v>
      </c>
      <c r="C473" s="23"/>
      <c r="D473" s="23" t="s">
        <v>10</v>
      </c>
      <c r="E473" s="23" t="s">
        <v>1398</v>
      </c>
      <c r="F473" s="23" t="s">
        <v>1442</v>
      </c>
      <c r="G473" s="23" t="s">
        <v>1422</v>
      </c>
      <c r="H473" s="23" t="s">
        <v>1432</v>
      </c>
    </row>
    <row r="474" spans="1:8" x14ac:dyDescent="0.25">
      <c r="A474" s="27" t="s">
        <v>895</v>
      </c>
      <c r="B474" s="26" t="s">
        <v>894</v>
      </c>
      <c r="C474" s="25" t="s">
        <v>536</v>
      </c>
      <c r="D474" s="25" t="s">
        <v>7</v>
      </c>
      <c r="E474" s="25" t="s">
        <v>1391</v>
      </c>
      <c r="F474" s="18" t="s">
        <v>1439</v>
      </c>
      <c r="G474" s="25" t="s">
        <v>30</v>
      </c>
      <c r="H474" s="25" t="s">
        <v>1431</v>
      </c>
    </row>
    <row r="475" spans="1:8" x14ac:dyDescent="0.25">
      <c r="A475" s="34" t="s">
        <v>897</v>
      </c>
      <c r="B475" s="33" t="s">
        <v>896</v>
      </c>
      <c r="C475" s="34"/>
      <c r="D475" s="32" t="s">
        <v>48</v>
      </c>
      <c r="E475" s="32" t="s">
        <v>1387</v>
      </c>
      <c r="F475" s="32" t="s">
        <v>1437</v>
      </c>
      <c r="G475" s="32" t="s">
        <v>1422</v>
      </c>
      <c r="H475" s="32" t="s">
        <v>1430</v>
      </c>
    </row>
    <row r="476" spans="1:8" x14ac:dyDescent="0.25">
      <c r="A476" s="32" t="s">
        <v>899</v>
      </c>
      <c r="B476" s="33" t="s">
        <v>898</v>
      </c>
      <c r="C476" s="32"/>
      <c r="D476" s="18" t="s">
        <v>76</v>
      </c>
      <c r="E476" s="32" t="s">
        <v>1397</v>
      </c>
      <c r="F476" s="32" t="s">
        <v>1436</v>
      </c>
      <c r="G476" s="32" t="s">
        <v>1445</v>
      </c>
      <c r="H476" s="18" t="s">
        <v>1431</v>
      </c>
    </row>
    <row r="477" spans="1:8" x14ac:dyDescent="0.25">
      <c r="A477" s="36" t="s">
        <v>901</v>
      </c>
      <c r="B477" s="37" t="s">
        <v>900</v>
      </c>
      <c r="C477" s="36"/>
      <c r="D477" s="36" t="s">
        <v>36</v>
      </c>
      <c r="E477" s="36" t="s">
        <v>1395</v>
      </c>
      <c r="F477" s="25" t="s">
        <v>1441</v>
      </c>
      <c r="G477" s="25" t="s">
        <v>30</v>
      </c>
      <c r="H477" s="36" t="s">
        <v>1432</v>
      </c>
    </row>
    <row r="478" spans="1:8" x14ac:dyDescent="0.25">
      <c r="A478" s="36" t="s">
        <v>903</v>
      </c>
      <c r="B478" s="37" t="s">
        <v>902</v>
      </c>
      <c r="C478" s="36"/>
      <c r="D478" s="36" t="s">
        <v>36</v>
      </c>
      <c r="E478" s="36" t="s">
        <v>1395</v>
      </c>
      <c r="F478" s="25" t="s">
        <v>1441</v>
      </c>
      <c r="G478" s="25" t="s">
        <v>30</v>
      </c>
      <c r="H478" s="36" t="s">
        <v>1432</v>
      </c>
    </row>
    <row r="479" spans="1:8" x14ac:dyDescent="0.25">
      <c r="A479" s="25" t="s">
        <v>905</v>
      </c>
      <c r="B479" s="26" t="s">
        <v>904</v>
      </c>
      <c r="C479" s="25"/>
      <c r="D479" s="25" t="s">
        <v>7</v>
      </c>
      <c r="E479" s="25" t="s">
        <v>1391</v>
      </c>
      <c r="F479" s="18" t="s">
        <v>1439</v>
      </c>
      <c r="G479" s="36" t="s">
        <v>1429</v>
      </c>
      <c r="H479" s="25" t="s">
        <v>1431</v>
      </c>
    </row>
    <row r="480" spans="1:8" x14ac:dyDescent="0.25">
      <c r="A480" s="25" t="s">
        <v>907</v>
      </c>
      <c r="B480" s="26" t="s">
        <v>906</v>
      </c>
      <c r="C480" s="25"/>
      <c r="D480" s="25" t="s">
        <v>29</v>
      </c>
      <c r="E480" s="25" t="s">
        <v>1394</v>
      </c>
      <c r="F480" s="25" t="s">
        <v>1441</v>
      </c>
      <c r="G480" s="25" t="s">
        <v>30</v>
      </c>
      <c r="H480" s="25" t="s">
        <v>1432</v>
      </c>
    </row>
    <row r="481" spans="1:8" x14ac:dyDescent="0.25">
      <c r="A481" s="18" t="s">
        <v>909</v>
      </c>
      <c r="B481" s="19" t="s">
        <v>908</v>
      </c>
      <c r="C481" s="18" t="s">
        <v>242</v>
      </c>
      <c r="D481" s="18" t="s">
        <v>26</v>
      </c>
      <c r="E481" s="18" t="s">
        <v>1390</v>
      </c>
      <c r="F481" s="18" t="s">
        <v>1444</v>
      </c>
      <c r="G481" s="18" t="s">
        <v>1429</v>
      </c>
      <c r="H481" s="18" t="s">
        <v>1431</v>
      </c>
    </row>
    <row r="482" spans="1:8" x14ac:dyDescent="0.25">
      <c r="A482" s="28" t="s">
        <v>911</v>
      </c>
      <c r="B482" s="29" t="s">
        <v>910</v>
      </c>
      <c r="C482" s="28"/>
      <c r="D482" s="28" t="s">
        <v>4</v>
      </c>
      <c r="E482" s="28" t="s">
        <v>1389</v>
      </c>
      <c r="F482" s="28" t="s">
        <v>1438</v>
      </c>
      <c r="G482" s="28" t="s">
        <v>1423</v>
      </c>
      <c r="H482" s="28" t="s">
        <v>1430</v>
      </c>
    </row>
    <row r="483" spans="1:8" x14ac:dyDescent="0.25">
      <c r="A483" s="36" t="s">
        <v>913</v>
      </c>
      <c r="B483" s="37" t="s">
        <v>912</v>
      </c>
      <c r="C483" s="36"/>
      <c r="D483" s="36" t="s">
        <v>36</v>
      </c>
      <c r="E483" s="36" t="s">
        <v>1395</v>
      </c>
      <c r="F483" s="25" t="s">
        <v>1441</v>
      </c>
      <c r="G483" s="25" t="s">
        <v>30</v>
      </c>
      <c r="H483" s="36" t="s">
        <v>1432</v>
      </c>
    </row>
    <row r="484" spans="1:8" x14ac:dyDescent="0.25">
      <c r="A484" s="38" t="s">
        <v>1358</v>
      </c>
      <c r="B484" s="37" t="s">
        <v>915</v>
      </c>
      <c r="C484" s="38"/>
      <c r="D484" s="36" t="s">
        <v>13</v>
      </c>
      <c r="E484" s="36" t="s">
        <v>1393</v>
      </c>
      <c r="F484" s="36" t="s">
        <v>1440</v>
      </c>
      <c r="G484" s="36" t="s">
        <v>1424</v>
      </c>
      <c r="H484" s="36" t="s">
        <v>1432</v>
      </c>
    </row>
    <row r="485" spans="1:8" x14ac:dyDescent="0.25">
      <c r="A485" s="36" t="s">
        <v>917</v>
      </c>
      <c r="B485" s="37" t="s">
        <v>916</v>
      </c>
      <c r="C485" s="36"/>
      <c r="D485" s="36" t="s">
        <v>36</v>
      </c>
      <c r="E485" s="36" t="s">
        <v>1395</v>
      </c>
      <c r="F485" s="25" t="s">
        <v>1441</v>
      </c>
      <c r="G485" s="25" t="s">
        <v>30</v>
      </c>
      <c r="H485" s="36" t="s">
        <v>1432</v>
      </c>
    </row>
    <row r="486" spans="1:8" x14ac:dyDescent="0.25">
      <c r="A486" s="32" t="s">
        <v>919</v>
      </c>
      <c r="B486" s="33" t="s">
        <v>918</v>
      </c>
      <c r="C486" s="32"/>
      <c r="D486" s="32" t="s">
        <v>48</v>
      </c>
      <c r="E486" s="32" t="s">
        <v>1387</v>
      </c>
      <c r="F486" s="32" t="s">
        <v>1437</v>
      </c>
      <c r="G486" s="32" t="s">
        <v>1422</v>
      </c>
      <c r="H486" s="32" t="s">
        <v>1430</v>
      </c>
    </row>
    <row r="487" spans="1:8" x14ac:dyDescent="0.25">
      <c r="A487" s="28" t="s">
        <v>921</v>
      </c>
      <c r="B487" s="29" t="s">
        <v>920</v>
      </c>
      <c r="C487" s="28"/>
      <c r="D487" s="28" t="s">
        <v>4</v>
      </c>
      <c r="E487" s="28" t="s">
        <v>1389</v>
      </c>
      <c r="F487" s="28" t="s">
        <v>1438</v>
      </c>
      <c r="G487" s="28" t="s">
        <v>1423</v>
      </c>
      <c r="H487" s="28" t="s">
        <v>1430</v>
      </c>
    </row>
    <row r="488" spans="1:8" x14ac:dyDescent="0.25">
      <c r="A488" s="28" t="s">
        <v>1359</v>
      </c>
      <c r="B488" s="29" t="s">
        <v>922</v>
      </c>
      <c r="C488" s="28" t="s">
        <v>21</v>
      </c>
      <c r="D488" s="28" t="s">
        <v>4</v>
      </c>
      <c r="E488" s="28" t="s">
        <v>1389</v>
      </c>
      <c r="F488" s="28" t="s">
        <v>1438</v>
      </c>
      <c r="G488" s="28" t="s">
        <v>1423</v>
      </c>
      <c r="H488" s="28" t="s">
        <v>1430</v>
      </c>
    </row>
    <row r="489" spans="1:8" x14ac:dyDescent="0.25">
      <c r="A489" s="32" t="s">
        <v>924</v>
      </c>
      <c r="B489" s="33" t="s">
        <v>923</v>
      </c>
      <c r="C489" s="32"/>
      <c r="D489" s="32" t="s">
        <v>48</v>
      </c>
      <c r="E489" s="32" t="s">
        <v>1387</v>
      </c>
      <c r="F489" s="32" t="s">
        <v>1437</v>
      </c>
      <c r="G489" s="32" t="s">
        <v>1422</v>
      </c>
      <c r="H489" s="32" t="s">
        <v>1430</v>
      </c>
    </row>
    <row r="490" spans="1:8" x14ac:dyDescent="0.25">
      <c r="A490" s="36" t="s">
        <v>926</v>
      </c>
      <c r="B490" s="37" t="s">
        <v>925</v>
      </c>
      <c r="C490" s="36"/>
      <c r="D490" s="36" t="s">
        <v>13</v>
      </c>
      <c r="E490" s="36" t="s">
        <v>1393</v>
      </c>
      <c r="F490" s="36" t="s">
        <v>1440</v>
      </c>
      <c r="G490" s="36" t="s">
        <v>1424</v>
      </c>
      <c r="H490" s="36" t="s">
        <v>1432</v>
      </c>
    </row>
    <row r="491" spans="1:8" x14ac:dyDescent="0.25">
      <c r="A491" s="18" t="s">
        <v>928</v>
      </c>
      <c r="B491" s="19" t="s">
        <v>927</v>
      </c>
      <c r="C491" s="18"/>
      <c r="D491" s="18" t="s">
        <v>26</v>
      </c>
      <c r="E491" s="18" t="s">
        <v>1390</v>
      </c>
      <c r="F491" s="18" t="s">
        <v>1444</v>
      </c>
      <c r="G491" s="18" t="s">
        <v>1429</v>
      </c>
      <c r="H491" s="18" t="s">
        <v>1431</v>
      </c>
    </row>
    <row r="492" spans="1:8" x14ac:dyDescent="0.25">
      <c r="A492" s="18" t="s">
        <v>1360</v>
      </c>
      <c r="B492" s="19" t="s">
        <v>929</v>
      </c>
      <c r="C492" s="18" t="s">
        <v>242</v>
      </c>
      <c r="D492" s="18" t="s">
        <v>26</v>
      </c>
      <c r="E492" s="18" t="s">
        <v>1390</v>
      </c>
      <c r="F492" s="18" t="s">
        <v>1444</v>
      </c>
      <c r="G492" s="18" t="s">
        <v>1429</v>
      </c>
      <c r="H492" s="18" t="s">
        <v>1431</v>
      </c>
    </row>
    <row r="493" spans="1:8" x14ac:dyDescent="0.25">
      <c r="A493" s="15" t="s">
        <v>931</v>
      </c>
      <c r="B493" s="16" t="s">
        <v>930</v>
      </c>
      <c r="C493" s="15"/>
      <c r="D493" s="15" t="s">
        <v>7</v>
      </c>
      <c r="E493" s="15" t="s">
        <v>1391</v>
      </c>
      <c r="F493" s="18" t="s">
        <v>1439</v>
      </c>
      <c r="G493" s="36" t="s">
        <v>1429</v>
      </c>
      <c r="H493" s="15" t="s">
        <v>1431</v>
      </c>
    </row>
    <row r="494" spans="1:8" x14ac:dyDescent="0.25">
      <c r="A494" s="28" t="s">
        <v>933</v>
      </c>
      <c r="B494" s="29" t="s">
        <v>932</v>
      </c>
      <c r="C494" s="28"/>
      <c r="D494" s="31" t="s">
        <v>4</v>
      </c>
      <c r="E494" s="28" t="s">
        <v>1389</v>
      </c>
      <c r="F494" s="28" t="s">
        <v>1438</v>
      </c>
      <c r="G494" s="28" t="s">
        <v>1423</v>
      </c>
      <c r="H494" s="28" t="s">
        <v>1430</v>
      </c>
    </row>
    <row r="495" spans="1:8" x14ac:dyDescent="0.25">
      <c r="A495" s="32" t="s">
        <v>935</v>
      </c>
      <c r="B495" s="33" t="s">
        <v>934</v>
      </c>
      <c r="C495" s="34" t="s">
        <v>33</v>
      </c>
      <c r="D495" s="32" t="s">
        <v>18</v>
      </c>
      <c r="E495" s="32" t="s">
        <v>1384</v>
      </c>
      <c r="F495" s="32" t="s">
        <v>1436</v>
      </c>
      <c r="G495" s="32" t="s">
        <v>1445</v>
      </c>
      <c r="H495" s="32" t="s">
        <v>1430</v>
      </c>
    </row>
    <row r="496" spans="1:8" x14ac:dyDescent="0.25">
      <c r="A496" s="25" t="s">
        <v>937</v>
      </c>
      <c r="B496" s="26" t="s">
        <v>936</v>
      </c>
      <c r="C496" s="25"/>
      <c r="D496" s="25" t="s">
        <v>7</v>
      </c>
      <c r="E496" s="25" t="s">
        <v>1391</v>
      </c>
      <c r="F496" s="18" t="s">
        <v>1439</v>
      </c>
      <c r="G496" s="25" t="s">
        <v>1428</v>
      </c>
      <c r="H496" s="25" t="s">
        <v>1431</v>
      </c>
    </row>
    <row r="497" spans="1:8" x14ac:dyDescent="0.25">
      <c r="A497" s="20" t="s">
        <v>939</v>
      </c>
      <c r="B497" s="19" t="s">
        <v>938</v>
      </c>
      <c r="C497" s="20"/>
      <c r="D497" s="18" t="s">
        <v>26</v>
      </c>
      <c r="E497" s="18" t="s">
        <v>1390</v>
      </c>
      <c r="F497" s="18" t="s">
        <v>1444</v>
      </c>
      <c r="G497" s="18" t="s">
        <v>1429</v>
      </c>
      <c r="H497" s="18" t="s">
        <v>1431</v>
      </c>
    </row>
    <row r="498" spans="1:8" x14ac:dyDescent="0.25">
      <c r="A498" s="36" t="s">
        <v>941</v>
      </c>
      <c r="B498" s="37" t="s">
        <v>940</v>
      </c>
      <c r="C498" s="36" t="s">
        <v>837</v>
      </c>
      <c r="D498" s="36" t="s">
        <v>13</v>
      </c>
      <c r="E498" s="36" t="s">
        <v>1393</v>
      </c>
      <c r="F498" s="36" t="s">
        <v>1440</v>
      </c>
      <c r="G498" s="36" t="s">
        <v>1424</v>
      </c>
      <c r="H498" s="36" t="s">
        <v>1432</v>
      </c>
    </row>
    <row r="499" spans="1:8" x14ac:dyDescent="0.25">
      <c r="A499" s="32" t="s">
        <v>943</v>
      </c>
      <c r="B499" s="33" t="s">
        <v>942</v>
      </c>
      <c r="C499" s="32"/>
      <c r="D499" s="18" t="s">
        <v>76</v>
      </c>
      <c r="E499" s="32" t="s">
        <v>1397</v>
      </c>
      <c r="F499" s="32" t="s">
        <v>1436</v>
      </c>
      <c r="G499" s="32" t="s">
        <v>1445</v>
      </c>
      <c r="H499" s="18" t="s">
        <v>1431</v>
      </c>
    </row>
    <row r="500" spans="1:8" x14ac:dyDescent="0.25">
      <c r="A500" s="25" t="s">
        <v>945</v>
      </c>
      <c r="B500" s="26" t="s">
        <v>944</v>
      </c>
      <c r="C500" s="25"/>
      <c r="D500" s="25" t="s">
        <v>55</v>
      </c>
      <c r="E500" s="25" t="s">
        <v>1388</v>
      </c>
      <c r="F500" s="32" t="s">
        <v>1437</v>
      </c>
      <c r="G500" s="25" t="s">
        <v>1423</v>
      </c>
      <c r="H500" s="25" t="s">
        <v>1430</v>
      </c>
    </row>
    <row r="501" spans="1:8" x14ac:dyDescent="0.25">
      <c r="A501" s="28" t="s">
        <v>947</v>
      </c>
      <c r="B501" s="29" t="s">
        <v>946</v>
      </c>
      <c r="C501" s="28" t="s">
        <v>21</v>
      </c>
      <c r="D501" s="28" t="s">
        <v>4</v>
      </c>
      <c r="E501" s="28" t="s">
        <v>1389</v>
      </c>
      <c r="F501" s="28" t="s">
        <v>1438</v>
      </c>
      <c r="G501" s="28" t="s">
        <v>1423</v>
      </c>
      <c r="H501" s="28" t="s">
        <v>1430</v>
      </c>
    </row>
    <row r="502" spans="1:8" x14ac:dyDescent="0.25">
      <c r="A502" s="28" t="s">
        <v>949</v>
      </c>
      <c r="B502" s="29" t="s">
        <v>948</v>
      </c>
      <c r="C502" s="28"/>
      <c r="D502" s="31" t="s">
        <v>4</v>
      </c>
      <c r="E502" s="28" t="s">
        <v>1389</v>
      </c>
      <c r="F502" s="28" t="s">
        <v>1438</v>
      </c>
      <c r="G502" s="28" t="s">
        <v>1423</v>
      </c>
      <c r="H502" s="28" t="s">
        <v>1430</v>
      </c>
    </row>
    <row r="503" spans="1:8" x14ac:dyDescent="0.25">
      <c r="A503" s="28" t="s">
        <v>951</v>
      </c>
      <c r="B503" s="29" t="s">
        <v>950</v>
      </c>
      <c r="C503" s="28" t="s">
        <v>21</v>
      </c>
      <c r="D503" s="28" t="s">
        <v>4</v>
      </c>
      <c r="E503" s="28" t="s">
        <v>1389</v>
      </c>
      <c r="F503" s="28" t="s">
        <v>1438</v>
      </c>
      <c r="G503" s="28" t="s">
        <v>1423</v>
      </c>
      <c r="H503" s="28" t="s">
        <v>1430</v>
      </c>
    </row>
    <row r="504" spans="1:8" x14ac:dyDescent="0.25">
      <c r="A504" s="28" t="s">
        <v>953</v>
      </c>
      <c r="B504" s="29" t="s">
        <v>952</v>
      </c>
      <c r="C504" s="28" t="s">
        <v>1412</v>
      </c>
      <c r="D504" s="28" t="s">
        <v>4</v>
      </c>
      <c r="E504" s="28" t="s">
        <v>1389</v>
      </c>
      <c r="F504" s="28" t="s">
        <v>1438</v>
      </c>
      <c r="G504" s="28" t="s">
        <v>1423</v>
      </c>
      <c r="H504" s="28" t="s">
        <v>1430</v>
      </c>
    </row>
    <row r="505" spans="1:8" x14ac:dyDescent="0.25">
      <c r="A505" s="23" t="s">
        <v>955</v>
      </c>
      <c r="B505" s="22" t="s">
        <v>954</v>
      </c>
      <c r="C505" s="23"/>
      <c r="D505" s="23" t="s">
        <v>10</v>
      </c>
      <c r="E505" s="23" t="s">
        <v>1398</v>
      </c>
      <c r="F505" s="23" t="s">
        <v>1442</v>
      </c>
      <c r="G505" s="23" t="s">
        <v>1443</v>
      </c>
      <c r="H505" s="23" t="s">
        <v>1432</v>
      </c>
    </row>
    <row r="506" spans="1:8" x14ac:dyDescent="0.25">
      <c r="A506" s="32" t="s">
        <v>957</v>
      </c>
      <c r="B506" s="33" t="s">
        <v>956</v>
      </c>
      <c r="C506" s="32"/>
      <c r="D506" s="32" t="s">
        <v>18</v>
      </c>
      <c r="E506" s="32" t="s">
        <v>1384</v>
      </c>
      <c r="F506" s="32" t="s">
        <v>1436</v>
      </c>
      <c r="G506" s="32" t="s">
        <v>1445</v>
      </c>
      <c r="H506" s="32" t="s">
        <v>1430</v>
      </c>
    </row>
    <row r="507" spans="1:8" x14ac:dyDescent="0.25">
      <c r="A507" s="23" t="s">
        <v>981</v>
      </c>
      <c r="B507" s="22" t="s">
        <v>980</v>
      </c>
      <c r="C507" s="23" t="s">
        <v>58</v>
      </c>
      <c r="D507" s="23" t="s">
        <v>10</v>
      </c>
      <c r="E507" s="23" t="s">
        <v>1398</v>
      </c>
      <c r="F507" s="23" t="s">
        <v>1442</v>
      </c>
      <c r="G507" s="23" t="s">
        <v>1443</v>
      </c>
      <c r="H507" s="23" t="s">
        <v>1432</v>
      </c>
    </row>
    <row r="508" spans="1:8" x14ac:dyDescent="0.25">
      <c r="A508" s="25" t="s">
        <v>959</v>
      </c>
      <c r="B508" s="26" t="s">
        <v>958</v>
      </c>
      <c r="C508" s="25"/>
      <c r="D508" s="25" t="s">
        <v>55</v>
      </c>
      <c r="E508" s="25" t="s">
        <v>1388</v>
      </c>
      <c r="F508" s="32" t="s">
        <v>1437</v>
      </c>
      <c r="G508" s="25" t="s">
        <v>1423</v>
      </c>
      <c r="H508" s="25" t="s">
        <v>1430</v>
      </c>
    </row>
    <row r="509" spans="1:8" x14ac:dyDescent="0.25">
      <c r="A509" s="18" t="s">
        <v>961</v>
      </c>
      <c r="B509" s="19" t="s">
        <v>960</v>
      </c>
      <c r="C509" s="18"/>
      <c r="D509" s="18" t="s">
        <v>26</v>
      </c>
      <c r="E509" s="18" t="s">
        <v>1390</v>
      </c>
      <c r="F509" s="18" t="s">
        <v>1444</v>
      </c>
      <c r="G509" s="18" t="s">
        <v>1429</v>
      </c>
      <c r="H509" s="18" t="s">
        <v>1431</v>
      </c>
    </row>
    <row r="510" spans="1:8" x14ac:dyDescent="0.25">
      <c r="A510" s="25" t="s">
        <v>963</v>
      </c>
      <c r="B510" s="26" t="s">
        <v>962</v>
      </c>
      <c r="C510" s="25"/>
      <c r="D510" s="25" t="s">
        <v>55</v>
      </c>
      <c r="E510" s="25" t="s">
        <v>1388</v>
      </c>
      <c r="F510" s="32" t="s">
        <v>1437</v>
      </c>
      <c r="G510" s="25" t="s">
        <v>1423</v>
      </c>
      <c r="H510" s="25" t="s">
        <v>1430</v>
      </c>
    </row>
    <row r="511" spans="1:8" x14ac:dyDescent="0.25">
      <c r="A511" s="28" t="s">
        <v>965</v>
      </c>
      <c r="B511" s="29" t="s">
        <v>964</v>
      </c>
      <c r="C511" s="28" t="s">
        <v>1412</v>
      </c>
      <c r="D511" s="28" t="s">
        <v>4</v>
      </c>
      <c r="E511" s="28" t="s">
        <v>1389</v>
      </c>
      <c r="F511" s="28" t="s">
        <v>1438</v>
      </c>
      <c r="G511" s="28" t="s">
        <v>1423</v>
      </c>
      <c r="H511" s="28" t="s">
        <v>1430</v>
      </c>
    </row>
    <row r="512" spans="1:8" x14ac:dyDescent="0.25">
      <c r="A512" s="34" t="s">
        <v>983</v>
      </c>
      <c r="B512" s="33" t="s">
        <v>982</v>
      </c>
      <c r="C512" s="34"/>
      <c r="D512" s="18" t="s">
        <v>76</v>
      </c>
      <c r="E512" s="32" t="s">
        <v>1397</v>
      </c>
      <c r="F512" s="32" t="s">
        <v>1436</v>
      </c>
      <c r="G512" s="32" t="s">
        <v>1445</v>
      </c>
      <c r="H512" s="18" t="s">
        <v>1431</v>
      </c>
    </row>
    <row r="513" spans="1:8" x14ac:dyDescent="0.25">
      <c r="A513" s="36" t="s">
        <v>985</v>
      </c>
      <c r="B513" s="37" t="s">
        <v>984</v>
      </c>
      <c r="C513" s="36"/>
      <c r="D513" s="39" t="s">
        <v>13</v>
      </c>
      <c r="E513" s="36" t="s">
        <v>1393</v>
      </c>
      <c r="F513" s="36" t="s">
        <v>1440</v>
      </c>
      <c r="G513" s="36" t="s">
        <v>1424</v>
      </c>
      <c r="H513" s="36" t="s">
        <v>1432</v>
      </c>
    </row>
    <row r="514" spans="1:8" x14ac:dyDescent="0.25">
      <c r="A514" s="32" t="s">
        <v>987</v>
      </c>
      <c r="B514" s="33" t="s">
        <v>986</v>
      </c>
      <c r="C514" s="32" t="s">
        <v>215</v>
      </c>
      <c r="D514" s="32" t="s">
        <v>18</v>
      </c>
      <c r="E514" s="32" t="s">
        <v>1384</v>
      </c>
      <c r="F514" s="32" t="s">
        <v>1436</v>
      </c>
      <c r="G514" s="32" t="s">
        <v>1445</v>
      </c>
      <c r="H514" s="32" t="s">
        <v>1430</v>
      </c>
    </row>
    <row r="515" spans="1:8" x14ac:dyDescent="0.25">
      <c r="A515" s="28" t="s">
        <v>967</v>
      </c>
      <c r="B515" s="29" t="s">
        <v>966</v>
      </c>
      <c r="C515" s="28"/>
      <c r="D515" s="28" t="s">
        <v>4</v>
      </c>
      <c r="E515" s="28" t="s">
        <v>1389</v>
      </c>
      <c r="F515" s="28" t="s">
        <v>1438</v>
      </c>
      <c r="G515" s="28" t="s">
        <v>1423</v>
      </c>
      <c r="H515" s="28" t="s">
        <v>1430</v>
      </c>
    </row>
    <row r="516" spans="1:8" x14ac:dyDescent="0.25">
      <c r="A516" s="23" t="s">
        <v>1380</v>
      </c>
      <c r="B516" s="22" t="s">
        <v>1242</v>
      </c>
      <c r="C516" s="23"/>
      <c r="D516" s="23" t="s">
        <v>10</v>
      </c>
      <c r="E516" s="23" t="s">
        <v>1398</v>
      </c>
      <c r="F516" s="23" t="s">
        <v>1442</v>
      </c>
      <c r="G516" s="23" t="s">
        <v>1443</v>
      </c>
      <c r="H516" s="23" t="s">
        <v>1432</v>
      </c>
    </row>
    <row r="517" spans="1:8" x14ac:dyDescent="0.25">
      <c r="A517" s="32" t="s">
        <v>969</v>
      </c>
      <c r="B517" s="33" t="s">
        <v>968</v>
      </c>
      <c r="C517" s="32"/>
      <c r="D517" s="32" t="s">
        <v>10</v>
      </c>
      <c r="E517" s="32" t="s">
        <v>1398</v>
      </c>
      <c r="F517" s="23" t="s">
        <v>1442</v>
      </c>
      <c r="G517" s="23" t="s">
        <v>1422</v>
      </c>
      <c r="H517" s="32" t="s">
        <v>1430</v>
      </c>
    </row>
    <row r="518" spans="1:8" x14ac:dyDescent="0.25">
      <c r="A518" s="28" t="s">
        <v>971</v>
      </c>
      <c r="B518" s="29" t="s">
        <v>970</v>
      </c>
      <c r="C518" s="28"/>
      <c r="D518" s="28" t="s">
        <v>4</v>
      </c>
      <c r="E518" s="28" t="s">
        <v>1389</v>
      </c>
      <c r="F518" s="28" t="s">
        <v>1438</v>
      </c>
      <c r="G518" s="28" t="s">
        <v>1423</v>
      </c>
      <c r="H518" s="28" t="s">
        <v>1430</v>
      </c>
    </row>
    <row r="519" spans="1:8" x14ac:dyDescent="0.25">
      <c r="A519" s="34" t="s">
        <v>973</v>
      </c>
      <c r="B519" s="33" t="s">
        <v>972</v>
      </c>
      <c r="C519" s="34"/>
      <c r="D519" s="32" t="s">
        <v>18</v>
      </c>
      <c r="E519" s="32" t="s">
        <v>1384</v>
      </c>
      <c r="F519" s="32" t="s">
        <v>1436</v>
      </c>
      <c r="G519" s="32" t="s">
        <v>1445</v>
      </c>
      <c r="H519" s="32" t="s">
        <v>1430</v>
      </c>
    </row>
    <row r="520" spans="1:8" x14ac:dyDescent="0.25">
      <c r="A520" s="18" t="s">
        <v>975</v>
      </c>
      <c r="B520" s="19" t="s">
        <v>974</v>
      </c>
      <c r="C520" s="18" t="s">
        <v>295</v>
      </c>
      <c r="D520" s="18" t="s">
        <v>26</v>
      </c>
      <c r="E520" s="18" t="s">
        <v>1390</v>
      </c>
      <c r="F520" s="18" t="s">
        <v>1444</v>
      </c>
      <c r="G520" s="18" t="s">
        <v>1429</v>
      </c>
      <c r="H520" s="18" t="s">
        <v>1431</v>
      </c>
    </row>
    <row r="521" spans="1:8" x14ac:dyDescent="0.25">
      <c r="A521" s="25" t="s">
        <v>977</v>
      </c>
      <c r="B521" s="26" t="s">
        <v>976</v>
      </c>
      <c r="C521" s="25"/>
      <c r="D521" s="25" t="s">
        <v>29</v>
      </c>
      <c r="E521" s="25" t="s">
        <v>1394</v>
      </c>
      <c r="F521" s="25" t="s">
        <v>1441</v>
      </c>
      <c r="G521" s="25" t="s">
        <v>30</v>
      </c>
      <c r="H521" s="25" t="s">
        <v>1432</v>
      </c>
    </row>
    <row r="522" spans="1:8" x14ac:dyDescent="0.25">
      <c r="A522" s="32" t="s">
        <v>979</v>
      </c>
      <c r="B522" s="33" t="s">
        <v>978</v>
      </c>
      <c r="C522" s="32"/>
      <c r="D522" s="32" t="s">
        <v>10</v>
      </c>
      <c r="E522" s="32" t="s">
        <v>1398</v>
      </c>
      <c r="F522" s="23" t="s">
        <v>1442</v>
      </c>
      <c r="G522" s="23" t="s">
        <v>1422</v>
      </c>
      <c r="H522" s="32" t="s">
        <v>1430</v>
      </c>
    </row>
    <row r="523" spans="1:8" x14ac:dyDescent="0.25">
      <c r="A523" s="18" t="s">
        <v>991</v>
      </c>
      <c r="B523" s="19" t="s">
        <v>990</v>
      </c>
      <c r="C523" s="18"/>
      <c r="D523" s="18" t="s">
        <v>61</v>
      </c>
      <c r="E523" s="18" t="s">
        <v>1396</v>
      </c>
      <c r="F523" s="18" t="s">
        <v>1444</v>
      </c>
      <c r="G523" s="18" t="s">
        <v>1429</v>
      </c>
      <c r="H523" s="18" t="s">
        <v>1431</v>
      </c>
    </row>
    <row r="524" spans="1:8" x14ac:dyDescent="0.25">
      <c r="A524" s="28" t="s">
        <v>993</v>
      </c>
      <c r="B524" s="29" t="s">
        <v>992</v>
      </c>
      <c r="C524" s="28"/>
      <c r="D524" s="28" t="s">
        <v>4</v>
      </c>
      <c r="E524" s="28" t="s">
        <v>1389</v>
      </c>
      <c r="F524" s="28" t="s">
        <v>1438</v>
      </c>
      <c r="G524" s="28" t="s">
        <v>1423</v>
      </c>
      <c r="H524" s="28" t="s">
        <v>1430</v>
      </c>
    </row>
    <row r="525" spans="1:8" x14ac:dyDescent="0.25">
      <c r="A525" s="23" t="s">
        <v>1007</v>
      </c>
      <c r="B525" s="22" t="s">
        <v>1006</v>
      </c>
      <c r="C525" s="23"/>
      <c r="D525" s="23" t="s">
        <v>10</v>
      </c>
      <c r="E525" s="23" t="s">
        <v>1398</v>
      </c>
      <c r="F525" s="23" t="s">
        <v>1442</v>
      </c>
      <c r="G525" s="23" t="s">
        <v>1422</v>
      </c>
      <c r="H525" s="23" t="s">
        <v>1432</v>
      </c>
    </row>
    <row r="526" spans="1:8" x14ac:dyDescent="0.25">
      <c r="A526" s="25" t="s">
        <v>1009</v>
      </c>
      <c r="B526" s="26" t="s">
        <v>1008</v>
      </c>
      <c r="C526" s="25"/>
      <c r="D526" s="25" t="s">
        <v>55</v>
      </c>
      <c r="E526" s="25" t="s">
        <v>1388</v>
      </c>
      <c r="F526" s="32" t="s">
        <v>1437</v>
      </c>
      <c r="G526" s="25" t="s">
        <v>1423</v>
      </c>
      <c r="H526" s="25" t="s">
        <v>1430</v>
      </c>
    </row>
    <row r="527" spans="1:8" x14ac:dyDescent="0.25">
      <c r="A527" s="21" t="s">
        <v>1011</v>
      </c>
      <c r="B527" s="22" t="s">
        <v>1010</v>
      </c>
      <c r="C527" s="21"/>
      <c r="D527" s="23" t="s">
        <v>10</v>
      </c>
      <c r="E527" s="23" t="s">
        <v>1398</v>
      </c>
      <c r="F527" s="23" t="s">
        <v>1442</v>
      </c>
      <c r="G527" s="23" t="s">
        <v>1422</v>
      </c>
      <c r="H527" s="23" t="s">
        <v>1432</v>
      </c>
    </row>
    <row r="528" spans="1:8" x14ac:dyDescent="0.25">
      <c r="A528" s="36" t="s">
        <v>989</v>
      </c>
      <c r="B528" s="37" t="s">
        <v>988</v>
      </c>
      <c r="C528" s="36"/>
      <c r="D528" s="36" t="s">
        <v>13</v>
      </c>
      <c r="E528" s="36" t="s">
        <v>1393</v>
      </c>
      <c r="F528" s="36" t="s">
        <v>1440</v>
      </c>
      <c r="G528" s="36" t="s">
        <v>1424</v>
      </c>
      <c r="H528" s="36" t="s">
        <v>1432</v>
      </c>
    </row>
    <row r="529" spans="1:8" x14ac:dyDescent="0.25">
      <c r="A529" s="25" t="s">
        <v>1013</v>
      </c>
      <c r="B529" s="26" t="s">
        <v>1012</v>
      </c>
      <c r="C529" s="25" t="s">
        <v>1408</v>
      </c>
      <c r="D529" s="25" t="s">
        <v>55</v>
      </c>
      <c r="E529" s="25" t="s">
        <v>1388</v>
      </c>
      <c r="F529" s="32" t="s">
        <v>1437</v>
      </c>
      <c r="G529" s="25" t="s">
        <v>1423</v>
      </c>
      <c r="H529" s="25" t="s">
        <v>1430</v>
      </c>
    </row>
    <row r="530" spans="1:8" x14ac:dyDescent="0.25">
      <c r="A530" s="25" t="s">
        <v>1015</v>
      </c>
      <c r="B530" s="26" t="s">
        <v>1014</v>
      </c>
      <c r="C530" s="25"/>
      <c r="D530" s="25" t="s">
        <v>55</v>
      </c>
      <c r="E530" s="25" t="s">
        <v>1388</v>
      </c>
      <c r="F530" s="32" t="s">
        <v>1437</v>
      </c>
      <c r="G530" s="25" t="s">
        <v>1423</v>
      </c>
      <c r="H530" s="25" t="s">
        <v>1430</v>
      </c>
    </row>
    <row r="531" spans="1:8" x14ac:dyDescent="0.25">
      <c r="A531" s="18" t="s">
        <v>1017</v>
      </c>
      <c r="B531" s="19" t="s">
        <v>1016</v>
      </c>
      <c r="C531" s="18"/>
      <c r="D531" s="18" t="s">
        <v>197</v>
      </c>
      <c r="E531" s="18" t="s">
        <v>1403</v>
      </c>
      <c r="F531" s="18"/>
      <c r="G531" s="18" t="s">
        <v>1429</v>
      </c>
      <c r="H531" s="18" t="s">
        <v>1431</v>
      </c>
    </row>
    <row r="532" spans="1:8" x14ac:dyDescent="0.25">
      <c r="A532" s="25" t="s">
        <v>1019</v>
      </c>
      <c r="B532" s="26" t="s">
        <v>1018</v>
      </c>
      <c r="C532" s="25"/>
      <c r="D532" s="25" t="s">
        <v>7</v>
      </c>
      <c r="E532" s="25" t="s">
        <v>1391</v>
      </c>
      <c r="F532" s="18" t="s">
        <v>1439</v>
      </c>
      <c r="G532" s="36" t="s">
        <v>1429</v>
      </c>
      <c r="H532" s="25" t="s">
        <v>1431</v>
      </c>
    </row>
    <row r="533" spans="1:8" x14ac:dyDescent="0.25">
      <c r="A533" s="32" t="s">
        <v>1021</v>
      </c>
      <c r="B533" s="33" t="s">
        <v>1020</v>
      </c>
      <c r="C533" s="32"/>
      <c r="D533" s="32" t="s">
        <v>10</v>
      </c>
      <c r="E533" s="32" t="s">
        <v>1398</v>
      </c>
      <c r="F533" s="23" t="s">
        <v>1442</v>
      </c>
      <c r="G533" s="23" t="s">
        <v>1422</v>
      </c>
      <c r="H533" s="32" t="s">
        <v>1430</v>
      </c>
    </row>
    <row r="534" spans="1:8" x14ac:dyDescent="0.25">
      <c r="A534" s="15" t="s">
        <v>1023</v>
      </c>
      <c r="B534" s="16" t="s">
        <v>1022</v>
      </c>
      <c r="C534" s="15"/>
      <c r="D534" s="15" t="s">
        <v>7</v>
      </c>
      <c r="E534" s="15" t="s">
        <v>1391</v>
      </c>
      <c r="F534" s="18" t="s">
        <v>1439</v>
      </c>
      <c r="G534" s="36" t="s">
        <v>1429</v>
      </c>
      <c r="H534" s="15" t="s">
        <v>1431</v>
      </c>
    </row>
    <row r="535" spans="1:8" x14ac:dyDescent="0.25">
      <c r="A535" s="27" t="s">
        <v>1025</v>
      </c>
      <c r="B535" s="26" t="s">
        <v>1024</v>
      </c>
      <c r="C535" s="27"/>
      <c r="D535" s="25" t="s">
        <v>55</v>
      </c>
      <c r="E535" s="25" t="s">
        <v>1388</v>
      </c>
      <c r="F535" s="32" t="s">
        <v>1437</v>
      </c>
      <c r="G535" s="25" t="s">
        <v>1423</v>
      </c>
      <c r="H535" s="25" t="s">
        <v>1430</v>
      </c>
    </row>
    <row r="536" spans="1:8" x14ac:dyDescent="0.25">
      <c r="A536" s="18" t="s">
        <v>1027</v>
      </c>
      <c r="B536" s="19" t="s">
        <v>1026</v>
      </c>
      <c r="C536" s="18"/>
      <c r="D536" s="18" t="s">
        <v>7</v>
      </c>
      <c r="E536" s="18" t="s">
        <v>1391</v>
      </c>
      <c r="F536" s="18" t="s">
        <v>1439</v>
      </c>
      <c r="G536" s="36" t="s">
        <v>1429</v>
      </c>
      <c r="H536" s="18" t="s">
        <v>1431</v>
      </c>
    </row>
    <row r="537" spans="1:8" x14ac:dyDescent="0.25">
      <c r="A537" s="32" t="s">
        <v>1029</v>
      </c>
      <c r="B537" s="33" t="s">
        <v>1028</v>
      </c>
      <c r="C537" s="32" t="s">
        <v>866</v>
      </c>
      <c r="D537" s="32" t="s">
        <v>48</v>
      </c>
      <c r="E537" s="32" t="s">
        <v>1387</v>
      </c>
      <c r="F537" s="32" t="s">
        <v>1437</v>
      </c>
      <c r="G537" s="32" t="s">
        <v>1422</v>
      </c>
      <c r="H537" s="32" t="s">
        <v>1430</v>
      </c>
    </row>
    <row r="538" spans="1:8" x14ac:dyDescent="0.25">
      <c r="A538" s="25" t="s">
        <v>1031</v>
      </c>
      <c r="B538" s="26" t="s">
        <v>1030</v>
      </c>
      <c r="C538" s="25"/>
      <c r="D538" s="25" t="s">
        <v>55</v>
      </c>
      <c r="E538" s="25" t="s">
        <v>1388</v>
      </c>
      <c r="F538" s="32" t="s">
        <v>1437</v>
      </c>
      <c r="G538" s="25" t="s">
        <v>1423</v>
      </c>
      <c r="H538" s="25" t="s">
        <v>1430</v>
      </c>
    </row>
    <row r="539" spans="1:8" x14ac:dyDescent="0.25">
      <c r="A539" s="25" t="s">
        <v>1033</v>
      </c>
      <c r="B539" s="26" t="s">
        <v>1032</v>
      </c>
      <c r="C539" s="25" t="s">
        <v>1408</v>
      </c>
      <c r="D539" s="25" t="s">
        <v>55</v>
      </c>
      <c r="E539" s="25" t="s">
        <v>1388</v>
      </c>
      <c r="F539" s="32" t="s">
        <v>1437</v>
      </c>
      <c r="G539" s="25" t="s">
        <v>1423</v>
      </c>
      <c r="H539" s="25" t="s">
        <v>1430</v>
      </c>
    </row>
    <row r="540" spans="1:8" x14ac:dyDescent="0.25">
      <c r="A540" s="28" t="s">
        <v>1035</v>
      </c>
      <c r="B540" s="29" t="s">
        <v>1034</v>
      </c>
      <c r="C540" s="28"/>
      <c r="D540" s="28" t="s">
        <v>4</v>
      </c>
      <c r="E540" s="28" t="s">
        <v>1389</v>
      </c>
      <c r="F540" s="28" t="s">
        <v>1438</v>
      </c>
      <c r="G540" s="28" t="s">
        <v>1423</v>
      </c>
      <c r="H540" s="28" t="s">
        <v>1430</v>
      </c>
    </row>
    <row r="541" spans="1:8" x14ac:dyDescent="0.25">
      <c r="A541" s="23" t="s">
        <v>1037</v>
      </c>
      <c r="B541" s="22" t="s">
        <v>1036</v>
      </c>
      <c r="C541" s="23"/>
      <c r="D541" s="23" t="s">
        <v>10</v>
      </c>
      <c r="E541" s="23" t="s">
        <v>1398</v>
      </c>
      <c r="F541" s="23" t="s">
        <v>1442</v>
      </c>
      <c r="G541" s="23" t="s">
        <v>1422</v>
      </c>
      <c r="H541" s="23" t="s">
        <v>1432</v>
      </c>
    </row>
    <row r="542" spans="1:8" x14ac:dyDescent="0.25">
      <c r="A542" s="36" t="s">
        <v>1039</v>
      </c>
      <c r="B542" s="37" t="s">
        <v>1038</v>
      </c>
      <c r="C542" s="36" t="s">
        <v>1406</v>
      </c>
      <c r="D542" s="36" t="s">
        <v>13</v>
      </c>
      <c r="E542" s="36" t="s">
        <v>1393</v>
      </c>
      <c r="F542" s="36" t="s">
        <v>1440</v>
      </c>
      <c r="G542" s="36" t="s">
        <v>1424</v>
      </c>
      <c r="H542" s="36" t="s">
        <v>1432</v>
      </c>
    </row>
    <row r="543" spans="1:8" x14ac:dyDescent="0.25">
      <c r="A543" s="25" t="s">
        <v>1041</v>
      </c>
      <c r="B543" s="26" t="s">
        <v>1040</v>
      </c>
      <c r="C543" s="25"/>
      <c r="D543" s="25" t="s">
        <v>7</v>
      </c>
      <c r="E543" s="25" t="s">
        <v>1391</v>
      </c>
      <c r="F543" s="18" t="s">
        <v>1439</v>
      </c>
      <c r="G543" s="36" t="s">
        <v>1429</v>
      </c>
      <c r="H543" s="25" t="s">
        <v>1431</v>
      </c>
    </row>
    <row r="544" spans="1:8" x14ac:dyDescent="0.25">
      <c r="A544" s="28" t="s">
        <v>1043</v>
      </c>
      <c r="B544" s="29" t="s">
        <v>1042</v>
      </c>
      <c r="C544" s="28"/>
      <c r="D544" s="28" t="s">
        <v>4</v>
      </c>
      <c r="E544" s="28" t="s">
        <v>1389</v>
      </c>
      <c r="F544" s="28" t="s">
        <v>1438</v>
      </c>
      <c r="G544" s="28" t="s">
        <v>1423</v>
      </c>
      <c r="H544" s="28" t="s">
        <v>1430</v>
      </c>
    </row>
    <row r="545" spans="1:8" x14ac:dyDescent="0.25">
      <c r="A545" s="28" t="s">
        <v>1045</v>
      </c>
      <c r="B545" s="29" t="s">
        <v>1044</v>
      </c>
      <c r="C545" s="28"/>
      <c r="D545" s="28" t="s">
        <v>4</v>
      </c>
      <c r="E545" s="28" t="s">
        <v>1389</v>
      </c>
      <c r="F545" s="28" t="s">
        <v>1438</v>
      </c>
      <c r="G545" s="28" t="s">
        <v>1423</v>
      </c>
      <c r="H545" s="28" t="s">
        <v>1430</v>
      </c>
    </row>
    <row r="546" spans="1:8" x14ac:dyDescent="0.25">
      <c r="A546" s="32" t="s">
        <v>1047</v>
      </c>
      <c r="B546" s="33" t="s">
        <v>1046</v>
      </c>
      <c r="C546" s="32"/>
      <c r="D546" s="32" t="s">
        <v>18</v>
      </c>
      <c r="E546" s="32" t="s">
        <v>1384</v>
      </c>
      <c r="F546" s="32" t="s">
        <v>1436</v>
      </c>
      <c r="G546" s="32" t="s">
        <v>1445</v>
      </c>
      <c r="H546" s="32" t="s">
        <v>1430</v>
      </c>
    </row>
    <row r="547" spans="1:8" x14ac:dyDescent="0.25">
      <c r="A547" s="25" t="s">
        <v>1049</v>
      </c>
      <c r="B547" s="26" t="s">
        <v>1048</v>
      </c>
      <c r="C547" s="25"/>
      <c r="D547" s="25" t="s">
        <v>7</v>
      </c>
      <c r="E547" s="25" t="s">
        <v>1391</v>
      </c>
      <c r="F547" s="18" t="s">
        <v>1439</v>
      </c>
      <c r="G547" s="36" t="s">
        <v>1429</v>
      </c>
      <c r="H547" s="25" t="s">
        <v>1431</v>
      </c>
    </row>
    <row r="548" spans="1:8" x14ac:dyDescent="0.25">
      <c r="A548" s="28" t="s">
        <v>1051</v>
      </c>
      <c r="B548" s="29" t="s">
        <v>1050</v>
      </c>
      <c r="C548" s="28"/>
      <c r="D548" s="28" t="s">
        <v>136</v>
      </c>
      <c r="E548" s="28" t="s">
        <v>1386</v>
      </c>
      <c r="F548" s="32" t="s">
        <v>1437</v>
      </c>
      <c r="G548" s="32" t="s">
        <v>1422</v>
      </c>
      <c r="H548" s="28" t="s">
        <v>1430</v>
      </c>
    </row>
    <row r="549" spans="1:8" x14ac:dyDescent="0.25">
      <c r="A549" s="36" t="s">
        <v>1053</v>
      </c>
      <c r="B549" s="37" t="s">
        <v>1052</v>
      </c>
      <c r="C549" s="36"/>
      <c r="D549" s="36" t="s">
        <v>13</v>
      </c>
      <c r="E549" s="36" t="s">
        <v>1393</v>
      </c>
      <c r="F549" s="36" t="s">
        <v>1440</v>
      </c>
      <c r="G549" s="36" t="s">
        <v>1424</v>
      </c>
      <c r="H549" s="36" t="s">
        <v>1432</v>
      </c>
    </row>
    <row r="550" spans="1:8" x14ac:dyDescent="0.25">
      <c r="A550" s="32" t="s">
        <v>1055</v>
      </c>
      <c r="B550" s="33" t="s">
        <v>1054</v>
      </c>
      <c r="C550" s="32"/>
      <c r="D550" s="32" t="s">
        <v>48</v>
      </c>
      <c r="E550" s="32" t="s">
        <v>1387</v>
      </c>
      <c r="F550" s="32" t="s">
        <v>1437</v>
      </c>
      <c r="G550" s="32" t="s">
        <v>1422</v>
      </c>
      <c r="H550" s="32" t="s">
        <v>1430</v>
      </c>
    </row>
    <row r="551" spans="1:8" x14ac:dyDescent="0.25">
      <c r="A551" s="25" t="s">
        <v>1057</v>
      </c>
      <c r="B551" s="26" t="s">
        <v>1056</v>
      </c>
      <c r="C551" s="25"/>
      <c r="D551" s="25" t="s">
        <v>55</v>
      </c>
      <c r="E551" s="25" t="s">
        <v>1388</v>
      </c>
      <c r="F551" s="32" t="s">
        <v>1437</v>
      </c>
      <c r="G551" s="25" t="s">
        <v>1423</v>
      </c>
      <c r="H551" s="25" t="s">
        <v>1430</v>
      </c>
    </row>
    <row r="552" spans="1:8" x14ac:dyDescent="0.25">
      <c r="A552" s="18" t="s">
        <v>995</v>
      </c>
      <c r="B552" s="19" t="s">
        <v>994</v>
      </c>
      <c r="C552" s="18" t="s">
        <v>587</v>
      </c>
      <c r="D552" s="18" t="s">
        <v>26</v>
      </c>
      <c r="E552" s="18" t="s">
        <v>1390</v>
      </c>
      <c r="F552" s="18" t="s">
        <v>1444</v>
      </c>
      <c r="G552" s="18" t="s">
        <v>1429</v>
      </c>
      <c r="H552" s="18" t="s">
        <v>1431</v>
      </c>
    </row>
    <row r="553" spans="1:8" x14ac:dyDescent="0.25">
      <c r="A553" s="28" t="s">
        <v>997</v>
      </c>
      <c r="B553" s="29" t="s">
        <v>996</v>
      </c>
      <c r="C553" s="28" t="s">
        <v>21</v>
      </c>
      <c r="D553" s="28" t="s">
        <v>4</v>
      </c>
      <c r="E553" s="28" t="s">
        <v>1389</v>
      </c>
      <c r="F553" s="28" t="s">
        <v>1438</v>
      </c>
      <c r="G553" s="28" t="s">
        <v>1423</v>
      </c>
      <c r="H553" s="28" t="s">
        <v>1430</v>
      </c>
    </row>
    <row r="554" spans="1:8" x14ac:dyDescent="0.25">
      <c r="A554" s="25" t="s">
        <v>999</v>
      </c>
      <c r="B554" s="26" t="s">
        <v>998</v>
      </c>
      <c r="C554" s="25"/>
      <c r="D554" s="25" t="s">
        <v>29</v>
      </c>
      <c r="E554" s="25" t="s">
        <v>1394</v>
      </c>
      <c r="F554" s="25" t="s">
        <v>1441</v>
      </c>
      <c r="G554" s="25" t="s">
        <v>30</v>
      </c>
      <c r="H554" s="25" t="s">
        <v>1432</v>
      </c>
    </row>
    <row r="555" spans="1:8" x14ac:dyDescent="0.25">
      <c r="A555" s="18" t="s">
        <v>1001</v>
      </c>
      <c r="B555" s="19" t="s">
        <v>1000</v>
      </c>
      <c r="C555" s="18"/>
      <c r="D555" s="18" t="s">
        <v>61</v>
      </c>
      <c r="E555" s="18" t="s">
        <v>1396</v>
      </c>
      <c r="F555" s="18" t="s">
        <v>1444</v>
      </c>
      <c r="G555" s="18" t="s">
        <v>1429</v>
      </c>
      <c r="H555" s="18" t="s">
        <v>1431</v>
      </c>
    </row>
    <row r="556" spans="1:8" x14ac:dyDescent="0.25">
      <c r="A556" s="28" t="s">
        <v>1059</v>
      </c>
      <c r="B556" s="29" t="s">
        <v>1058</v>
      </c>
      <c r="C556" s="28"/>
      <c r="D556" s="28" t="s">
        <v>4</v>
      </c>
      <c r="E556" s="28" t="s">
        <v>1389</v>
      </c>
      <c r="F556" s="28" t="s">
        <v>1438</v>
      </c>
      <c r="G556" s="28" t="s">
        <v>1423</v>
      </c>
      <c r="H556" s="28" t="s">
        <v>1430</v>
      </c>
    </row>
    <row r="557" spans="1:8" x14ac:dyDescent="0.25">
      <c r="A557" s="15" t="s">
        <v>1061</v>
      </c>
      <c r="B557" s="16" t="s">
        <v>1060</v>
      </c>
      <c r="C557" s="15"/>
      <c r="D557" s="15" t="s">
        <v>7</v>
      </c>
      <c r="E557" s="15" t="s">
        <v>1391</v>
      </c>
      <c r="F557" s="18" t="s">
        <v>1439</v>
      </c>
      <c r="G557" s="36" t="s">
        <v>1429</v>
      </c>
      <c r="H557" s="15" t="s">
        <v>1431</v>
      </c>
    </row>
    <row r="558" spans="1:8" x14ac:dyDescent="0.25">
      <c r="A558" s="25" t="s">
        <v>1063</v>
      </c>
      <c r="B558" s="26" t="s">
        <v>1062</v>
      </c>
      <c r="C558" s="25"/>
      <c r="D558" s="25" t="s">
        <v>55</v>
      </c>
      <c r="E558" s="25" t="s">
        <v>1388</v>
      </c>
      <c r="F558" s="32" t="s">
        <v>1437</v>
      </c>
      <c r="G558" s="25" t="s">
        <v>1423</v>
      </c>
      <c r="H558" s="25" t="s">
        <v>1430</v>
      </c>
    </row>
    <row r="559" spans="1:8" x14ac:dyDescent="0.25">
      <c r="A559" s="32" t="s">
        <v>1065</v>
      </c>
      <c r="B559" s="33" t="s">
        <v>1064</v>
      </c>
      <c r="C559" s="32"/>
      <c r="D559" s="32" t="s">
        <v>76</v>
      </c>
      <c r="E559" s="32" t="s">
        <v>1397</v>
      </c>
      <c r="F559" s="32" t="s">
        <v>1436</v>
      </c>
      <c r="G559" s="32" t="s">
        <v>1445</v>
      </c>
      <c r="H559" s="32" t="s">
        <v>1430</v>
      </c>
    </row>
    <row r="560" spans="1:8" x14ac:dyDescent="0.25">
      <c r="A560" s="18" t="s">
        <v>1067</v>
      </c>
      <c r="B560" s="19" t="s">
        <v>1066</v>
      </c>
      <c r="C560" s="18" t="s">
        <v>382</v>
      </c>
      <c r="D560" s="18" t="s">
        <v>26</v>
      </c>
      <c r="E560" s="18" t="s">
        <v>1390</v>
      </c>
      <c r="F560" s="18" t="s">
        <v>1444</v>
      </c>
      <c r="G560" s="18" t="s">
        <v>1429</v>
      </c>
      <c r="H560" s="18" t="s">
        <v>1431</v>
      </c>
    </row>
    <row r="561" spans="1:8" x14ac:dyDescent="0.25">
      <c r="A561" s="34" t="s">
        <v>1069</v>
      </c>
      <c r="B561" s="33" t="s">
        <v>1068</v>
      </c>
      <c r="C561" s="32" t="s">
        <v>1407</v>
      </c>
      <c r="D561" s="32" t="s">
        <v>76</v>
      </c>
      <c r="E561" s="32" t="s">
        <v>1385</v>
      </c>
      <c r="F561" s="32" t="s">
        <v>1436</v>
      </c>
      <c r="G561" s="32" t="s">
        <v>1445</v>
      </c>
      <c r="H561" s="32" t="s">
        <v>1430</v>
      </c>
    </row>
    <row r="562" spans="1:8" x14ac:dyDescent="0.25">
      <c r="A562" s="32" t="s">
        <v>1003</v>
      </c>
      <c r="B562" s="33" t="s">
        <v>1002</v>
      </c>
      <c r="C562" s="32"/>
      <c r="D562" s="28" t="s">
        <v>76</v>
      </c>
      <c r="E562" s="32" t="s">
        <v>1397</v>
      </c>
      <c r="F562" s="32" t="s">
        <v>1436</v>
      </c>
      <c r="G562" s="32" t="s">
        <v>1445</v>
      </c>
      <c r="H562" s="28" t="s">
        <v>1430</v>
      </c>
    </row>
    <row r="563" spans="1:8" x14ac:dyDescent="0.25">
      <c r="A563" s="32" t="s">
        <v>1005</v>
      </c>
      <c r="B563" s="33" t="s">
        <v>1004</v>
      </c>
      <c r="C563" s="32"/>
      <c r="D563" s="32" t="s">
        <v>18</v>
      </c>
      <c r="E563" s="32" t="s">
        <v>1384</v>
      </c>
      <c r="F563" s="32" t="s">
        <v>1436</v>
      </c>
      <c r="G563" s="32" t="s">
        <v>1445</v>
      </c>
      <c r="H563" s="32" t="s">
        <v>1430</v>
      </c>
    </row>
    <row r="564" spans="1:8" x14ac:dyDescent="0.25">
      <c r="A564" s="18" t="s">
        <v>1071</v>
      </c>
      <c r="B564" s="19" t="s">
        <v>1070</v>
      </c>
      <c r="C564" s="18" t="s">
        <v>382</v>
      </c>
      <c r="D564" s="18" t="s">
        <v>26</v>
      </c>
      <c r="E564" s="18" t="s">
        <v>1390</v>
      </c>
      <c r="F564" s="18" t="s">
        <v>1444</v>
      </c>
      <c r="G564" s="18" t="s">
        <v>1429</v>
      </c>
      <c r="H564" s="18" t="s">
        <v>1431</v>
      </c>
    </row>
    <row r="565" spans="1:8" x14ac:dyDescent="0.25">
      <c r="A565" s="34" t="s">
        <v>1073</v>
      </c>
      <c r="B565" s="33" t="s">
        <v>1072</v>
      </c>
      <c r="C565" s="34"/>
      <c r="D565" s="32" t="s">
        <v>18</v>
      </c>
      <c r="E565" s="32" t="s">
        <v>1384</v>
      </c>
      <c r="F565" s="32" t="s">
        <v>1436</v>
      </c>
      <c r="G565" s="32" t="s">
        <v>1445</v>
      </c>
      <c r="H565" s="32" t="s">
        <v>1430</v>
      </c>
    </row>
    <row r="566" spans="1:8" x14ac:dyDescent="0.25">
      <c r="A566" s="34" t="s">
        <v>1077</v>
      </c>
      <c r="B566" s="33" t="s">
        <v>1076</v>
      </c>
      <c r="C566" s="34"/>
      <c r="D566" s="32" t="s">
        <v>18</v>
      </c>
      <c r="E566" s="32" t="s">
        <v>1384</v>
      </c>
      <c r="F566" s="32" t="s">
        <v>1436</v>
      </c>
      <c r="G566" s="32" t="s">
        <v>1445</v>
      </c>
      <c r="H566" s="32" t="s">
        <v>1430</v>
      </c>
    </row>
    <row r="567" spans="1:8" x14ac:dyDescent="0.25">
      <c r="A567" s="32" t="s">
        <v>1075</v>
      </c>
      <c r="B567" s="33" t="s">
        <v>1074</v>
      </c>
      <c r="C567" s="34" t="s">
        <v>509</v>
      </c>
      <c r="D567" s="32" t="s">
        <v>48</v>
      </c>
      <c r="E567" s="32" t="s">
        <v>1387</v>
      </c>
      <c r="F567" s="32" t="s">
        <v>1437</v>
      </c>
      <c r="G567" s="32" t="s">
        <v>1422</v>
      </c>
      <c r="H567" s="32" t="s">
        <v>1430</v>
      </c>
    </row>
    <row r="568" spans="1:8" x14ac:dyDescent="0.25">
      <c r="A568" s="32" t="s">
        <v>1079</v>
      </c>
      <c r="B568" s="33" t="s">
        <v>1078</v>
      </c>
      <c r="C568" s="32"/>
      <c r="D568" s="32" t="s">
        <v>18</v>
      </c>
      <c r="E568" s="32" t="s">
        <v>1384</v>
      </c>
      <c r="F568" s="32" t="s">
        <v>1436</v>
      </c>
      <c r="G568" s="32" t="s">
        <v>1445</v>
      </c>
      <c r="H568" s="32" t="s">
        <v>1430</v>
      </c>
    </row>
    <row r="569" spans="1:8" x14ac:dyDescent="0.25">
      <c r="A569" s="28" t="s">
        <v>1081</v>
      </c>
      <c r="B569" s="29" t="s">
        <v>1080</v>
      </c>
      <c r="C569" s="28"/>
      <c r="D569" s="28" t="s">
        <v>4</v>
      </c>
      <c r="E569" s="28" t="s">
        <v>1389</v>
      </c>
      <c r="F569" s="28" t="s">
        <v>1438</v>
      </c>
      <c r="G569" s="28" t="s">
        <v>1423</v>
      </c>
      <c r="H569" s="28" t="s">
        <v>1430</v>
      </c>
    </row>
    <row r="570" spans="1:8" x14ac:dyDescent="0.25">
      <c r="A570" s="32" t="s">
        <v>1083</v>
      </c>
      <c r="B570" s="33" t="s">
        <v>1082</v>
      </c>
      <c r="C570" s="32"/>
      <c r="D570" s="32" t="s">
        <v>18</v>
      </c>
      <c r="E570" s="32" t="s">
        <v>1384</v>
      </c>
      <c r="F570" s="32" t="s">
        <v>1436</v>
      </c>
      <c r="G570" s="32" t="s">
        <v>1445</v>
      </c>
      <c r="H570" s="32" t="s">
        <v>1430</v>
      </c>
    </row>
    <row r="571" spans="1:8" x14ac:dyDescent="0.25">
      <c r="A571" s="32" t="s">
        <v>1085</v>
      </c>
      <c r="B571" s="33" t="s">
        <v>1084</v>
      </c>
      <c r="C571" s="32"/>
      <c r="D571" s="32" t="s">
        <v>48</v>
      </c>
      <c r="E571" s="32" t="s">
        <v>1387</v>
      </c>
      <c r="F571" s="32" t="s">
        <v>1437</v>
      </c>
      <c r="G571" s="32" t="s">
        <v>1422</v>
      </c>
      <c r="H571" s="32" t="s">
        <v>1430</v>
      </c>
    </row>
    <row r="572" spans="1:8" x14ac:dyDescent="0.25">
      <c r="A572" s="36" t="s">
        <v>1087</v>
      </c>
      <c r="B572" s="37" t="s">
        <v>1086</v>
      </c>
      <c r="C572" s="36" t="s">
        <v>1406</v>
      </c>
      <c r="D572" s="36" t="s">
        <v>13</v>
      </c>
      <c r="E572" s="36" t="s">
        <v>1393</v>
      </c>
      <c r="F572" s="36" t="s">
        <v>1440</v>
      </c>
      <c r="G572" s="36" t="s">
        <v>1424</v>
      </c>
      <c r="H572" s="36" t="s">
        <v>1432</v>
      </c>
    </row>
    <row r="573" spans="1:8" x14ac:dyDescent="0.25">
      <c r="A573" s="23" t="s">
        <v>1089</v>
      </c>
      <c r="B573" s="22" t="s">
        <v>1088</v>
      </c>
      <c r="C573" s="23"/>
      <c r="D573" s="24" t="s">
        <v>10</v>
      </c>
      <c r="E573" s="23" t="s">
        <v>1398</v>
      </c>
      <c r="F573" s="23" t="s">
        <v>1442</v>
      </c>
      <c r="G573" s="23" t="s">
        <v>1422</v>
      </c>
      <c r="H573" s="23" t="s">
        <v>1432</v>
      </c>
    </row>
    <row r="574" spans="1:8" x14ac:dyDescent="0.25">
      <c r="A574" s="28" t="s">
        <v>1091</v>
      </c>
      <c r="B574" s="29" t="s">
        <v>1090</v>
      </c>
      <c r="C574" s="28"/>
      <c r="D574" s="28" t="s">
        <v>4</v>
      </c>
      <c r="E574" s="28" t="s">
        <v>1389</v>
      </c>
      <c r="F574" s="28" t="s">
        <v>1438</v>
      </c>
      <c r="G574" s="28" t="s">
        <v>1423</v>
      </c>
      <c r="H574" s="28" t="s">
        <v>1430</v>
      </c>
    </row>
    <row r="575" spans="1:8" x14ac:dyDescent="0.25">
      <c r="A575" s="25" t="s">
        <v>1093</v>
      </c>
      <c r="B575" s="26" t="s">
        <v>1092</v>
      </c>
      <c r="C575" s="25"/>
      <c r="D575" s="25" t="s">
        <v>55</v>
      </c>
      <c r="E575" s="25" t="s">
        <v>1388</v>
      </c>
      <c r="F575" s="32" t="s">
        <v>1437</v>
      </c>
      <c r="G575" s="25" t="s">
        <v>1423</v>
      </c>
      <c r="H575" s="25" t="s">
        <v>1430</v>
      </c>
    </row>
    <row r="576" spans="1:8" x14ac:dyDescent="0.25">
      <c r="A576" s="28" t="s">
        <v>1095</v>
      </c>
      <c r="B576" s="29" t="s">
        <v>1094</v>
      </c>
      <c r="C576" s="28"/>
      <c r="D576" s="28" t="s">
        <v>4</v>
      </c>
      <c r="E576" s="28" t="s">
        <v>1389</v>
      </c>
      <c r="F576" s="28" t="s">
        <v>1438</v>
      </c>
      <c r="G576" s="28" t="s">
        <v>1423</v>
      </c>
      <c r="H576" s="28" t="s">
        <v>1430</v>
      </c>
    </row>
    <row r="577" spans="1:8" x14ac:dyDescent="0.25">
      <c r="A577" s="32" t="s">
        <v>1097</v>
      </c>
      <c r="B577" s="33" t="s">
        <v>1096</v>
      </c>
      <c r="C577" s="32"/>
      <c r="D577" s="32" t="s">
        <v>18</v>
      </c>
      <c r="E577" s="32" t="s">
        <v>1384</v>
      </c>
      <c r="F577" s="32" t="s">
        <v>1436</v>
      </c>
      <c r="G577" s="32" t="s">
        <v>1445</v>
      </c>
      <c r="H577" s="32" t="s">
        <v>1430</v>
      </c>
    </row>
    <row r="578" spans="1:8" x14ac:dyDescent="0.25">
      <c r="A578" s="25" t="s">
        <v>1099</v>
      </c>
      <c r="B578" s="26" t="s">
        <v>1098</v>
      </c>
      <c r="C578" s="25"/>
      <c r="D578" s="25" t="s">
        <v>55</v>
      </c>
      <c r="E578" s="25" t="s">
        <v>1388</v>
      </c>
      <c r="F578" s="32" t="s">
        <v>1437</v>
      </c>
      <c r="G578" s="25" t="s">
        <v>1423</v>
      </c>
      <c r="H578" s="25" t="s">
        <v>1430</v>
      </c>
    </row>
    <row r="579" spans="1:8" x14ac:dyDescent="0.25">
      <c r="A579" s="34" t="s">
        <v>1101</v>
      </c>
      <c r="B579" s="33" t="s">
        <v>1100</v>
      </c>
      <c r="C579" s="34"/>
      <c r="D579" s="32" t="s">
        <v>18</v>
      </c>
      <c r="E579" s="32" t="s">
        <v>1384</v>
      </c>
      <c r="F579" s="32" t="s">
        <v>1436</v>
      </c>
      <c r="G579" s="32" t="s">
        <v>1445</v>
      </c>
      <c r="H579" s="32" t="s">
        <v>1430</v>
      </c>
    </row>
    <row r="580" spans="1:8" x14ac:dyDescent="0.25">
      <c r="A580" s="28" t="s">
        <v>1103</v>
      </c>
      <c r="B580" s="29" t="s">
        <v>1102</v>
      </c>
      <c r="C580" s="28" t="s">
        <v>21</v>
      </c>
      <c r="D580" s="28" t="s">
        <v>4</v>
      </c>
      <c r="E580" s="28" t="s">
        <v>1389</v>
      </c>
      <c r="F580" s="28" t="s">
        <v>1438</v>
      </c>
      <c r="G580" s="28" t="s">
        <v>1423</v>
      </c>
      <c r="H580" s="28" t="s">
        <v>1430</v>
      </c>
    </row>
    <row r="581" spans="1:8" x14ac:dyDescent="0.25">
      <c r="A581" s="30" t="s">
        <v>1105</v>
      </c>
      <c r="B581" s="29" t="s">
        <v>1104</v>
      </c>
      <c r="C581" s="30"/>
      <c r="D581" s="28" t="s">
        <v>136</v>
      </c>
      <c r="E581" s="28" t="s">
        <v>1386</v>
      </c>
      <c r="F581" s="32" t="s">
        <v>1437</v>
      </c>
      <c r="G581" s="32" t="s">
        <v>1422</v>
      </c>
      <c r="H581" s="28" t="s">
        <v>1430</v>
      </c>
    </row>
    <row r="582" spans="1:8" x14ac:dyDescent="0.25">
      <c r="A582" s="23" t="s">
        <v>1107</v>
      </c>
      <c r="B582" s="22" t="s">
        <v>1106</v>
      </c>
      <c r="C582" s="23"/>
      <c r="D582" s="23" t="s">
        <v>10</v>
      </c>
      <c r="E582" s="23" t="s">
        <v>1398</v>
      </c>
      <c r="F582" s="23" t="s">
        <v>1442</v>
      </c>
      <c r="G582" s="23" t="s">
        <v>1422</v>
      </c>
      <c r="H582" s="23" t="s">
        <v>1432</v>
      </c>
    </row>
    <row r="583" spans="1:8" x14ac:dyDescent="0.25">
      <c r="A583" s="23" t="s">
        <v>1109</v>
      </c>
      <c r="B583" s="22" t="s">
        <v>1108</v>
      </c>
      <c r="C583" s="23"/>
      <c r="D583" s="24" t="s">
        <v>10</v>
      </c>
      <c r="E583" s="23" t="s">
        <v>1398</v>
      </c>
      <c r="F583" s="23" t="s">
        <v>1442</v>
      </c>
      <c r="G583" s="23" t="s">
        <v>1422</v>
      </c>
      <c r="H583" s="23" t="s">
        <v>1432</v>
      </c>
    </row>
    <row r="584" spans="1:8" x14ac:dyDescent="0.25">
      <c r="A584" s="30" t="s">
        <v>1111</v>
      </c>
      <c r="B584" s="29" t="s">
        <v>1110</v>
      </c>
      <c r="C584" s="28" t="s">
        <v>1412</v>
      </c>
      <c r="D584" s="28" t="s">
        <v>4</v>
      </c>
      <c r="E584" s="28" t="s">
        <v>1389</v>
      </c>
      <c r="F584" s="28" t="s">
        <v>1438</v>
      </c>
      <c r="G584" s="28" t="s">
        <v>1423</v>
      </c>
      <c r="H584" s="28" t="s">
        <v>1430</v>
      </c>
    </row>
    <row r="585" spans="1:8" x14ac:dyDescent="0.25">
      <c r="A585" s="32" t="s">
        <v>1113</v>
      </c>
      <c r="B585" s="33" t="s">
        <v>1112</v>
      </c>
      <c r="C585" s="32"/>
      <c r="D585" s="32" t="s">
        <v>48</v>
      </c>
      <c r="E585" s="32" t="s">
        <v>1387</v>
      </c>
      <c r="F585" s="32" t="s">
        <v>1437</v>
      </c>
      <c r="G585" s="32" t="s">
        <v>1422</v>
      </c>
      <c r="H585" s="32" t="s">
        <v>1430</v>
      </c>
    </row>
    <row r="586" spans="1:8" x14ac:dyDescent="0.25">
      <c r="A586" s="15" t="s">
        <v>1115</v>
      </c>
      <c r="B586" s="16" t="s">
        <v>1114</v>
      </c>
      <c r="C586" s="15"/>
      <c r="D586" s="15" t="s">
        <v>7</v>
      </c>
      <c r="E586" s="15" t="s">
        <v>1391</v>
      </c>
      <c r="F586" s="18" t="s">
        <v>1439</v>
      </c>
      <c r="G586" s="15" t="s">
        <v>1428</v>
      </c>
      <c r="H586" s="15" t="s">
        <v>1431</v>
      </c>
    </row>
    <row r="587" spans="1:8" x14ac:dyDescent="0.25">
      <c r="A587" s="25" t="s">
        <v>1117</v>
      </c>
      <c r="B587" s="26" t="s">
        <v>1116</v>
      </c>
      <c r="C587" s="25"/>
      <c r="D587" s="25" t="s">
        <v>55</v>
      </c>
      <c r="E587" s="25" t="s">
        <v>1388</v>
      </c>
      <c r="F587" s="32" t="s">
        <v>1437</v>
      </c>
      <c r="G587" s="25" t="s">
        <v>1423</v>
      </c>
      <c r="H587" s="25" t="s">
        <v>1430</v>
      </c>
    </row>
    <row r="588" spans="1:8" x14ac:dyDescent="0.25">
      <c r="A588" s="28" t="s">
        <v>1119</v>
      </c>
      <c r="B588" s="29" t="s">
        <v>1118</v>
      </c>
      <c r="C588" s="28"/>
      <c r="D588" s="28" t="s">
        <v>136</v>
      </c>
      <c r="E588" s="28" t="s">
        <v>1386</v>
      </c>
      <c r="F588" s="32" t="s">
        <v>1437</v>
      </c>
      <c r="G588" s="32" t="s">
        <v>1422</v>
      </c>
      <c r="H588" s="28" t="s">
        <v>1430</v>
      </c>
    </row>
    <row r="589" spans="1:8" x14ac:dyDescent="0.25">
      <c r="A589" s="25" t="s">
        <v>1121</v>
      </c>
      <c r="B589" s="26" t="s">
        <v>1120</v>
      </c>
      <c r="C589" s="25"/>
      <c r="D589" s="25" t="s">
        <v>55</v>
      </c>
      <c r="E589" s="25" t="s">
        <v>1388</v>
      </c>
      <c r="F589" s="32" t="s">
        <v>1437</v>
      </c>
      <c r="G589" s="25" t="s">
        <v>1423</v>
      </c>
      <c r="H589" s="25" t="s">
        <v>1430</v>
      </c>
    </row>
    <row r="590" spans="1:8" x14ac:dyDescent="0.25">
      <c r="A590" s="32" t="s">
        <v>1123</v>
      </c>
      <c r="B590" s="33" t="s">
        <v>1122</v>
      </c>
      <c r="C590" s="32"/>
      <c r="D590" s="32" t="s">
        <v>48</v>
      </c>
      <c r="E590" s="32" t="s">
        <v>1387</v>
      </c>
      <c r="F590" s="32" t="s">
        <v>1437</v>
      </c>
      <c r="G590" s="32" t="s">
        <v>1422</v>
      </c>
      <c r="H590" s="32" t="s">
        <v>1430</v>
      </c>
    </row>
    <row r="591" spans="1:8" x14ac:dyDescent="0.25">
      <c r="A591" s="32" t="s">
        <v>1125</v>
      </c>
      <c r="B591" s="33" t="s">
        <v>1124</v>
      </c>
      <c r="C591" s="34" t="s">
        <v>509</v>
      </c>
      <c r="D591" s="32" t="s">
        <v>48</v>
      </c>
      <c r="E591" s="32" t="s">
        <v>1387</v>
      </c>
      <c r="F591" s="32" t="s">
        <v>1437</v>
      </c>
      <c r="G591" s="32" t="s">
        <v>1422</v>
      </c>
      <c r="H591" s="32" t="s">
        <v>1430</v>
      </c>
    </row>
    <row r="592" spans="1:8" x14ac:dyDescent="0.25">
      <c r="A592" s="28" t="s">
        <v>1127</v>
      </c>
      <c r="B592" s="29" t="s">
        <v>1126</v>
      </c>
      <c r="C592" s="28"/>
      <c r="D592" s="28" t="s">
        <v>4</v>
      </c>
      <c r="E592" s="28" t="s">
        <v>1389</v>
      </c>
      <c r="F592" s="28" t="s">
        <v>1438</v>
      </c>
      <c r="G592" s="28" t="s">
        <v>1423</v>
      </c>
      <c r="H592" s="28" t="s">
        <v>1430</v>
      </c>
    </row>
    <row r="593" spans="1:8" x14ac:dyDescent="0.25">
      <c r="A593" s="28" t="s">
        <v>1129</v>
      </c>
      <c r="B593" s="29" t="s">
        <v>1128</v>
      </c>
      <c r="C593" s="28"/>
      <c r="D593" s="28" t="s">
        <v>4</v>
      </c>
      <c r="E593" s="28" t="s">
        <v>1389</v>
      </c>
      <c r="F593" s="28" t="s">
        <v>1438</v>
      </c>
      <c r="G593" s="28" t="s">
        <v>1423</v>
      </c>
      <c r="H593" s="28" t="s">
        <v>1430</v>
      </c>
    </row>
    <row r="594" spans="1:8" x14ac:dyDescent="0.25">
      <c r="A594" s="18" t="s">
        <v>1131</v>
      </c>
      <c r="B594" s="19" t="s">
        <v>1130</v>
      </c>
      <c r="C594" s="18"/>
      <c r="D594" s="18" t="s">
        <v>26</v>
      </c>
      <c r="E594" s="18" t="s">
        <v>1390</v>
      </c>
      <c r="F594" s="18" t="s">
        <v>1444</v>
      </c>
      <c r="G594" s="18" t="s">
        <v>1429</v>
      </c>
      <c r="H594" s="18" t="s">
        <v>1431</v>
      </c>
    </row>
    <row r="595" spans="1:8" x14ac:dyDescent="0.25">
      <c r="A595" s="25" t="s">
        <v>1133</v>
      </c>
      <c r="B595" s="26" t="s">
        <v>1132</v>
      </c>
      <c r="C595" s="25"/>
      <c r="D595" s="25" t="s">
        <v>7</v>
      </c>
      <c r="E595" s="25" t="s">
        <v>1391</v>
      </c>
      <c r="F595" s="18" t="s">
        <v>1439</v>
      </c>
      <c r="G595" s="36" t="s">
        <v>1429</v>
      </c>
      <c r="H595" s="25" t="s">
        <v>1431</v>
      </c>
    </row>
    <row r="596" spans="1:8" x14ac:dyDescent="0.25">
      <c r="A596" s="36" t="s">
        <v>1135</v>
      </c>
      <c r="B596" s="37" t="s">
        <v>1134</v>
      </c>
      <c r="C596" s="36"/>
      <c r="D596" s="36" t="s">
        <v>13</v>
      </c>
      <c r="E596" s="36" t="s">
        <v>1393</v>
      </c>
      <c r="F596" s="36" t="s">
        <v>1440</v>
      </c>
      <c r="G596" s="36" t="s">
        <v>1424</v>
      </c>
      <c r="H596" s="36" t="s">
        <v>1432</v>
      </c>
    </row>
    <row r="597" spans="1:8" x14ac:dyDescent="0.25">
      <c r="A597" s="25" t="s">
        <v>1137</v>
      </c>
      <c r="B597" s="26" t="s">
        <v>1136</v>
      </c>
      <c r="C597" s="25"/>
      <c r="D597" s="25" t="s">
        <v>55</v>
      </c>
      <c r="E597" s="25" t="s">
        <v>1388</v>
      </c>
      <c r="F597" s="32" t="s">
        <v>1437</v>
      </c>
      <c r="G597" s="25" t="s">
        <v>1423</v>
      </c>
      <c r="H597" s="25" t="s">
        <v>1430</v>
      </c>
    </row>
    <row r="598" spans="1:8" x14ac:dyDescent="0.25">
      <c r="A598" s="25" t="s">
        <v>1139</v>
      </c>
      <c r="B598" s="26" t="s">
        <v>1138</v>
      </c>
      <c r="C598" s="25"/>
      <c r="D598" s="25" t="s">
        <v>29</v>
      </c>
      <c r="E598" s="25" t="s">
        <v>1394</v>
      </c>
      <c r="F598" s="25" t="s">
        <v>1441</v>
      </c>
      <c r="G598" s="25" t="s">
        <v>30</v>
      </c>
      <c r="H598" s="25" t="s">
        <v>1432</v>
      </c>
    </row>
    <row r="599" spans="1:8" x14ac:dyDescent="0.25">
      <c r="A599" s="25" t="s">
        <v>1141</v>
      </c>
      <c r="B599" s="26" t="s">
        <v>1140</v>
      </c>
      <c r="C599" s="25"/>
      <c r="D599" s="25" t="s">
        <v>7</v>
      </c>
      <c r="E599" s="25" t="s">
        <v>1391</v>
      </c>
      <c r="F599" s="18" t="s">
        <v>1439</v>
      </c>
      <c r="G599" s="36" t="s">
        <v>1429</v>
      </c>
      <c r="H599" s="25" t="s">
        <v>1431</v>
      </c>
    </row>
    <row r="600" spans="1:8" x14ac:dyDescent="0.25">
      <c r="A600" s="32" t="s">
        <v>1361</v>
      </c>
      <c r="B600" s="33" t="s">
        <v>1142</v>
      </c>
      <c r="C600" s="32"/>
      <c r="D600" s="32" t="s">
        <v>10</v>
      </c>
      <c r="E600" s="32" t="s">
        <v>1398</v>
      </c>
      <c r="F600" s="23" t="s">
        <v>1442</v>
      </c>
      <c r="G600" s="23" t="s">
        <v>1422</v>
      </c>
      <c r="H600" s="32" t="s">
        <v>1430</v>
      </c>
    </row>
    <row r="601" spans="1:8" x14ac:dyDescent="0.25">
      <c r="A601" s="25" t="s">
        <v>1144</v>
      </c>
      <c r="B601" s="26" t="s">
        <v>1143</v>
      </c>
      <c r="C601" s="25"/>
      <c r="D601" s="25" t="s">
        <v>29</v>
      </c>
      <c r="E601" s="25" t="s">
        <v>1394</v>
      </c>
      <c r="F601" s="25" t="s">
        <v>1441</v>
      </c>
      <c r="G601" s="25" t="s">
        <v>30</v>
      </c>
      <c r="H601" s="25" t="s">
        <v>1432</v>
      </c>
    </row>
    <row r="602" spans="1:8" x14ac:dyDescent="0.25">
      <c r="A602" s="20" t="s">
        <v>1146</v>
      </c>
      <c r="B602" s="19" t="s">
        <v>1145</v>
      </c>
      <c r="C602" s="20"/>
      <c r="D602" s="18" t="s">
        <v>61</v>
      </c>
      <c r="E602" s="18" t="s">
        <v>1396</v>
      </c>
      <c r="F602" s="18" t="s">
        <v>1444</v>
      </c>
      <c r="G602" s="18" t="s">
        <v>1429</v>
      </c>
      <c r="H602" s="18" t="s">
        <v>1431</v>
      </c>
    </row>
    <row r="603" spans="1:8" x14ac:dyDescent="0.25">
      <c r="A603" s="32" t="s">
        <v>1148</v>
      </c>
      <c r="B603" s="33" t="s">
        <v>1147</v>
      </c>
      <c r="C603" s="32"/>
      <c r="D603" s="32" t="s">
        <v>48</v>
      </c>
      <c r="E603" s="32" t="s">
        <v>1387</v>
      </c>
      <c r="F603" s="32" t="s">
        <v>1437</v>
      </c>
      <c r="G603" s="32" t="s">
        <v>1422</v>
      </c>
      <c r="H603" s="32" t="s">
        <v>1430</v>
      </c>
    </row>
    <row r="604" spans="1:8" x14ac:dyDescent="0.25">
      <c r="A604" s="25" t="s">
        <v>1150</v>
      </c>
      <c r="B604" s="26" t="s">
        <v>1149</v>
      </c>
      <c r="C604" s="25"/>
      <c r="D604" s="25" t="s">
        <v>7</v>
      </c>
      <c r="E604" s="25" t="s">
        <v>1391</v>
      </c>
      <c r="F604" s="18" t="s">
        <v>1439</v>
      </c>
      <c r="G604" s="36" t="s">
        <v>1429</v>
      </c>
      <c r="H604" s="25" t="s">
        <v>1431</v>
      </c>
    </row>
    <row r="605" spans="1:8" x14ac:dyDescent="0.25">
      <c r="A605" s="28" t="s">
        <v>1152</v>
      </c>
      <c r="B605" s="29" t="s">
        <v>1151</v>
      </c>
      <c r="C605" s="28"/>
      <c r="D605" s="28" t="s">
        <v>4</v>
      </c>
      <c r="E605" s="28" t="s">
        <v>1389</v>
      </c>
      <c r="F605" s="28" t="s">
        <v>1438</v>
      </c>
      <c r="G605" s="28" t="s">
        <v>1423</v>
      </c>
      <c r="H605" s="28" t="s">
        <v>1430</v>
      </c>
    </row>
    <row r="606" spans="1:8" x14ac:dyDescent="0.25">
      <c r="A606" s="23" t="s">
        <v>1154</v>
      </c>
      <c r="B606" s="22" t="s">
        <v>1153</v>
      </c>
      <c r="C606" s="23"/>
      <c r="D606" s="23" t="s">
        <v>10</v>
      </c>
      <c r="E606" s="23" t="s">
        <v>1398</v>
      </c>
      <c r="F606" s="23" t="s">
        <v>1442</v>
      </c>
      <c r="G606" s="23" t="s">
        <v>1422</v>
      </c>
      <c r="H606" s="23" t="s">
        <v>1432</v>
      </c>
    </row>
    <row r="607" spans="1:8" x14ac:dyDescent="0.25">
      <c r="A607" s="23" t="s">
        <v>1156</v>
      </c>
      <c r="B607" s="22" t="s">
        <v>1155</v>
      </c>
      <c r="C607" s="23"/>
      <c r="D607" s="23" t="s">
        <v>10</v>
      </c>
      <c r="E607" s="23" t="s">
        <v>1398</v>
      </c>
      <c r="F607" s="23" t="s">
        <v>1442</v>
      </c>
      <c r="G607" s="23" t="s">
        <v>1422</v>
      </c>
      <c r="H607" s="23" t="s">
        <v>1432</v>
      </c>
    </row>
    <row r="608" spans="1:8" x14ac:dyDescent="0.25">
      <c r="A608" s="38" t="s">
        <v>1158</v>
      </c>
      <c r="B608" s="37" t="s">
        <v>1157</v>
      </c>
      <c r="C608" s="38"/>
      <c r="D608" s="36" t="s">
        <v>13</v>
      </c>
      <c r="E608" s="36" t="s">
        <v>1393</v>
      </c>
      <c r="F608" s="36" t="s">
        <v>1440</v>
      </c>
      <c r="G608" s="36" t="s">
        <v>1424</v>
      </c>
      <c r="H608" s="36" t="s">
        <v>1432</v>
      </c>
    </row>
    <row r="609" spans="1:8" x14ac:dyDescent="0.25">
      <c r="A609" s="32" t="s">
        <v>1162</v>
      </c>
      <c r="B609" s="33" t="s">
        <v>1161</v>
      </c>
      <c r="C609" s="32" t="s">
        <v>1411</v>
      </c>
      <c r="D609" s="32" t="s">
        <v>18</v>
      </c>
      <c r="E609" s="32" t="s">
        <v>1384</v>
      </c>
      <c r="F609" s="32" t="s">
        <v>1436</v>
      </c>
      <c r="G609" s="32" t="s">
        <v>1445</v>
      </c>
      <c r="H609" s="32" t="s">
        <v>1430</v>
      </c>
    </row>
    <row r="610" spans="1:8" x14ac:dyDescent="0.25">
      <c r="A610" s="25" t="s">
        <v>1362</v>
      </c>
      <c r="B610" s="26" t="s">
        <v>1163</v>
      </c>
      <c r="C610" s="25"/>
      <c r="D610" s="25" t="s">
        <v>55</v>
      </c>
      <c r="E610" s="25" t="s">
        <v>1388</v>
      </c>
      <c r="F610" s="32" t="s">
        <v>1437</v>
      </c>
      <c r="G610" s="25" t="s">
        <v>1423</v>
      </c>
      <c r="H610" s="25" t="s">
        <v>1430</v>
      </c>
    </row>
    <row r="611" spans="1:8" x14ac:dyDescent="0.25">
      <c r="A611" s="28" t="s">
        <v>1165</v>
      </c>
      <c r="B611" s="29" t="s">
        <v>1164</v>
      </c>
      <c r="C611" s="28" t="s">
        <v>21</v>
      </c>
      <c r="D611" s="28" t="s">
        <v>4</v>
      </c>
      <c r="E611" s="28" t="s">
        <v>1389</v>
      </c>
      <c r="F611" s="28" t="s">
        <v>1438</v>
      </c>
      <c r="G611" s="28" t="s">
        <v>1423</v>
      </c>
      <c r="H611" s="28" t="s">
        <v>1430</v>
      </c>
    </row>
    <row r="612" spans="1:8" x14ac:dyDescent="0.25">
      <c r="A612" s="25" t="s">
        <v>1167</v>
      </c>
      <c r="B612" s="26" t="s">
        <v>1166</v>
      </c>
      <c r="C612" s="25"/>
      <c r="D612" s="25" t="s">
        <v>55</v>
      </c>
      <c r="E612" s="25" t="s">
        <v>1388</v>
      </c>
      <c r="F612" s="32" t="s">
        <v>1437</v>
      </c>
      <c r="G612" s="25" t="s">
        <v>1423</v>
      </c>
      <c r="H612" s="25" t="s">
        <v>1430</v>
      </c>
    </row>
    <row r="613" spans="1:8" x14ac:dyDescent="0.25">
      <c r="A613" s="28" t="s">
        <v>1169</v>
      </c>
      <c r="B613" s="29" t="s">
        <v>1168</v>
      </c>
      <c r="C613" s="28"/>
      <c r="D613" s="28" t="s">
        <v>4</v>
      </c>
      <c r="E613" s="28" t="s">
        <v>1389</v>
      </c>
      <c r="F613" s="28" t="s">
        <v>1438</v>
      </c>
      <c r="G613" s="28" t="s">
        <v>1423</v>
      </c>
      <c r="H613" s="28" t="s">
        <v>1430</v>
      </c>
    </row>
    <row r="614" spans="1:8" x14ac:dyDescent="0.25">
      <c r="A614" s="32" t="s">
        <v>1171</v>
      </c>
      <c r="B614" s="33" t="s">
        <v>1170</v>
      </c>
      <c r="C614" s="32"/>
      <c r="D614" s="32" t="s">
        <v>48</v>
      </c>
      <c r="E614" s="32" t="s">
        <v>1387</v>
      </c>
      <c r="F614" s="32" t="s">
        <v>1437</v>
      </c>
      <c r="G614" s="32" t="s">
        <v>1422</v>
      </c>
      <c r="H614" s="32" t="s">
        <v>1430</v>
      </c>
    </row>
    <row r="615" spans="1:8" x14ac:dyDescent="0.25">
      <c r="A615" s="25" t="s">
        <v>1363</v>
      </c>
      <c r="B615" s="26" t="s">
        <v>1172</v>
      </c>
      <c r="C615" s="25"/>
      <c r="D615" s="25" t="s">
        <v>29</v>
      </c>
      <c r="E615" s="25" t="s">
        <v>1394</v>
      </c>
      <c r="F615" s="25" t="s">
        <v>1441</v>
      </c>
      <c r="G615" s="25" t="s">
        <v>30</v>
      </c>
      <c r="H615" s="25" t="s">
        <v>1432</v>
      </c>
    </row>
    <row r="616" spans="1:8" x14ac:dyDescent="0.25">
      <c r="A616" s="25" t="s">
        <v>1364</v>
      </c>
      <c r="B616" s="26" t="s">
        <v>1173</v>
      </c>
      <c r="C616" s="25"/>
      <c r="D616" s="25" t="s">
        <v>29</v>
      </c>
      <c r="E616" s="25" t="s">
        <v>1394</v>
      </c>
      <c r="F616" s="25" t="s">
        <v>1441</v>
      </c>
      <c r="G616" s="25" t="s">
        <v>30</v>
      </c>
      <c r="H616" s="25" t="s">
        <v>1432</v>
      </c>
    </row>
    <row r="617" spans="1:8" x14ac:dyDescent="0.25">
      <c r="A617" s="18" t="s">
        <v>1175</v>
      </c>
      <c r="B617" s="19" t="s">
        <v>1174</v>
      </c>
      <c r="C617" s="18" t="s">
        <v>73</v>
      </c>
      <c r="D617" s="18" t="s">
        <v>26</v>
      </c>
      <c r="E617" s="18" t="s">
        <v>1390</v>
      </c>
      <c r="F617" s="18" t="s">
        <v>1444</v>
      </c>
      <c r="G617" s="18" t="s">
        <v>1429</v>
      </c>
      <c r="H617" s="18" t="s">
        <v>1431</v>
      </c>
    </row>
    <row r="618" spans="1:8" x14ac:dyDescent="0.25">
      <c r="A618" s="36" t="s">
        <v>1365</v>
      </c>
      <c r="B618" s="37" t="s">
        <v>1176</v>
      </c>
      <c r="C618" s="36"/>
      <c r="D618" s="36" t="s">
        <v>13</v>
      </c>
      <c r="E618" s="36" t="s">
        <v>1393</v>
      </c>
      <c r="F618" s="36" t="s">
        <v>1440</v>
      </c>
      <c r="G618" s="36" t="s">
        <v>1424</v>
      </c>
      <c r="H618" s="36" t="s">
        <v>1432</v>
      </c>
    </row>
    <row r="619" spans="1:8" x14ac:dyDescent="0.25">
      <c r="A619" s="32" t="s">
        <v>1366</v>
      </c>
      <c r="B619" s="33" t="s">
        <v>1177</v>
      </c>
      <c r="C619" s="32" t="s">
        <v>1178</v>
      </c>
      <c r="D619" s="32" t="s">
        <v>18</v>
      </c>
      <c r="E619" s="32" t="s">
        <v>1384</v>
      </c>
      <c r="F619" s="32" t="s">
        <v>1436</v>
      </c>
      <c r="G619" s="32" t="s">
        <v>1445</v>
      </c>
      <c r="H619" s="32" t="s">
        <v>1430</v>
      </c>
    </row>
    <row r="620" spans="1:8" x14ac:dyDescent="0.25">
      <c r="A620" s="32" t="s">
        <v>1180</v>
      </c>
      <c r="B620" s="33" t="s">
        <v>1179</v>
      </c>
      <c r="C620" s="32" t="s">
        <v>172</v>
      </c>
      <c r="D620" s="32" t="s">
        <v>18</v>
      </c>
      <c r="E620" s="32" t="s">
        <v>1384</v>
      </c>
      <c r="F620" s="32" t="s">
        <v>1436</v>
      </c>
      <c r="G620" s="32" t="s">
        <v>1445</v>
      </c>
      <c r="H620" s="32" t="s">
        <v>1430</v>
      </c>
    </row>
    <row r="621" spans="1:8" x14ac:dyDescent="0.25">
      <c r="A621" s="34" t="s">
        <v>1367</v>
      </c>
      <c r="B621" s="33" t="s">
        <v>1181</v>
      </c>
      <c r="C621" s="32" t="s">
        <v>1178</v>
      </c>
      <c r="D621" s="32" t="s">
        <v>18</v>
      </c>
      <c r="E621" s="32" t="s">
        <v>1384</v>
      </c>
      <c r="F621" s="32" t="s">
        <v>1436</v>
      </c>
      <c r="G621" s="32" t="s">
        <v>1445</v>
      </c>
      <c r="H621" s="32" t="s">
        <v>1430</v>
      </c>
    </row>
    <row r="622" spans="1:8" x14ac:dyDescent="0.25">
      <c r="A622" s="32" t="s">
        <v>1368</v>
      </c>
      <c r="B622" s="33" t="s">
        <v>1182</v>
      </c>
      <c r="C622" s="32" t="s">
        <v>1178</v>
      </c>
      <c r="D622" s="32" t="s">
        <v>18</v>
      </c>
      <c r="E622" s="32" t="s">
        <v>1384</v>
      </c>
      <c r="F622" s="32" t="s">
        <v>1436</v>
      </c>
      <c r="G622" s="32" t="s">
        <v>1445</v>
      </c>
      <c r="H622" s="32" t="s">
        <v>1430</v>
      </c>
    </row>
    <row r="623" spans="1:8" x14ac:dyDescent="0.25">
      <c r="A623" s="20" t="s">
        <v>1184</v>
      </c>
      <c r="B623" s="19" t="s">
        <v>1183</v>
      </c>
      <c r="C623" s="20"/>
      <c r="D623" s="18" t="s">
        <v>61</v>
      </c>
      <c r="E623" s="18" t="s">
        <v>1396</v>
      </c>
      <c r="F623" s="18" t="s">
        <v>1444</v>
      </c>
      <c r="G623" s="18" t="s">
        <v>1429</v>
      </c>
      <c r="H623" s="18" t="s">
        <v>1431</v>
      </c>
    </row>
    <row r="624" spans="1:8" x14ac:dyDescent="0.25">
      <c r="A624" s="34" t="s">
        <v>1369</v>
      </c>
      <c r="B624" s="33" t="s">
        <v>1185</v>
      </c>
      <c r="C624" s="34"/>
      <c r="D624" s="18" t="s">
        <v>76</v>
      </c>
      <c r="E624" s="32" t="s">
        <v>1397</v>
      </c>
      <c r="F624" s="32" t="s">
        <v>1436</v>
      </c>
      <c r="G624" s="32" t="s">
        <v>1445</v>
      </c>
      <c r="H624" s="18" t="s">
        <v>1431</v>
      </c>
    </row>
    <row r="625" spans="1:8" x14ac:dyDescent="0.25">
      <c r="A625" s="28" t="s">
        <v>1370</v>
      </c>
      <c r="B625" s="29" t="s">
        <v>1186</v>
      </c>
      <c r="C625" s="28" t="s">
        <v>1405</v>
      </c>
      <c r="D625" s="28" t="s">
        <v>4</v>
      </c>
      <c r="E625" s="28" t="s">
        <v>1389</v>
      </c>
      <c r="F625" s="28" t="s">
        <v>1438</v>
      </c>
      <c r="G625" s="28" t="s">
        <v>1423</v>
      </c>
      <c r="H625" s="28" t="s">
        <v>1430</v>
      </c>
    </row>
    <row r="626" spans="1:8" x14ac:dyDescent="0.25">
      <c r="A626" s="18" t="s">
        <v>1188</v>
      </c>
      <c r="B626" s="19" t="s">
        <v>1187</v>
      </c>
      <c r="C626" s="18"/>
      <c r="D626" s="18" t="s">
        <v>26</v>
      </c>
      <c r="E626" s="18" t="s">
        <v>1390</v>
      </c>
      <c r="F626" s="18" t="s">
        <v>1444</v>
      </c>
      <c r="G626" s="18" t="s">
        <v>1429</v>
      </c>
      <c r="H626" s="18" t="s">
        <v>1431</v>
      </c>
    </row>
    <row r="627" spans="1:8" x14ac:dyDescent="0.25">
      <c r="A627" s="36" t="s">
        <v>1190</v>
      </c>
      <c r="B627" s="37" t="s">
        <v>1189</v>
      </c>
      <c r="C627" s="36"/>
      <c r="D627" s="36" t="s">
        <v>13</v>
      </c>
      <c r="E627" s="36" t="s">
        <v>1393</v>
      </c>
      <c r="F627" s="36" t="s">
        <v>1440</v>
      </c>
      <c r="G627" s="36" t="s">
        <v>1424</v>
      </c>
      <c r="H627" s="36" t="s">
        <v>1432</v>
      </c>
    </row>
    <row r="628" spans="1:8" x14ac:dyDescent="0.25">
      <c r="A628" s="32" t="s">
        <v>1192</v>
      </c>
      <c r="B628" s="33" t="s">
        <v>1191</v>
      </c>
      <c r="C628" s="32"/>
      <c r="D628" s="32" t="s">
        <v>18</v>
      </c>
      <c r="E628" s="32" t="s">
        <v>1384</v>
      </c>
      <c r="F628" s="32" t="s">
        <v>1436</v>
      </c>
      <c r="G628" s="32" t="s">
        <v>1445</v>
      </c>
      <c r="H628" s="32" t="s">
        <v>1430</v>
      </c>
    </row>
    <row r="629" spans="1:8" x14ac:dyDescent="0.25">
      <c r="A629" s="28" t="s">
        <v>1371</v>
      </c>
      <c r="B629" s="29" t="s">
        <v>1193</v>
      </c>
      <c r="C629" s="28"/>
      <c r="D629" s="28" t="s">
        <v>55</v>
      </c>
      <c r="E629" s="28" t="s">
        <v>1388</v>
      </c>
      <c r="F629" s="32" t="s">
        <v>1437</v>
      </c>
      <c r="G629" s="25" t="s">
        <v>1423</v>
      </c>
      <c r="H629" s="28" t="s">
        <v>1430</v>
      </c>
    </row>
    <row r="630" spans="1:8" x14ac:dyDescent="0.25">
      <c r="A630" s="23" t="s">
        <v>1195</v>
      </c>
      <c r="B630" s="22" t="s">
        <v>1194</v>
      </c>
      <c r="C630" s="23" t="s">
        <v>121</v>
      </c>
      <c r="D630" s="23" t="s">
        <v>10</v>
      </c>
      <c r="E630" s="23" t="s">
        <v>1398</v>
      </c>
      <c r="F630" s="23" t="s">
        <v>1442</v>
      </c>
      <c r="G630" s="23" t="s">
        <v>1422</v>
      </c>
      <c r="H630" s="23" t="s">
        <v>1432</v>
      </c>
    </row>
    <row r="631" spans="1:8" x14ac:dyDescent="0.25">
      <c r="A631" s="23" t="s">
        <v>1197</v>
      </c>
      <c r="B631" s="22" t="s">
        <v>1196</v>
      </c>
      <c r="C631" s="23" t="s">
        <v>1400</v>
      </c>
      <c r="D631" s="23" t="s">
        <v>10</v>
      </c>
      <c r="E631" s="23" t="s">
        <v>1398</v>
      </c>
      <c r="F631" s="23" t="s">
        <v>1442</v>
      </c>
      <c r="G631" s="23" t="s">
        <v>1443</v>
      </c>
      <c r="H631" s="23" t="s">
        <v>1432</v>
      </c>
    </row>
    <row r="632" spans="1:8" x14ac:dyDescent="0.25">
      <c r="A632" s="36" t="s">
        <v>1199</v>
      </c>
      <c r="B632" s="37" t="s">
        <v>1198</v>
      </c>
      <c r="C632" s="36"/>
      <c r="D632" s="36" t="s">
        <v>36</v>
      </c>
      <c r="E632" s="36" t="s">
        <v>1395</v>
      </c>
      <c r="F632" s="25" t="s">
        <v>1441</v>
      </c>
      <c r="G632" s="25" t="s">
        <v>30</v>
      </c>
      <c r="H632" s="36" t="s">
        <v>1432</v>
      </c>
    </row>
    <row r="633" spans="1:8" x14ac:dyDescent="0.25">
      <c r="A633" s="32" t="s">
        <v>1201</v>
      </c>
      <c r="B633" s="33" t="s">
        <v>1200</v>
      </c>
      <c r="C633" s="32"/>
      <c r="D633" s="18" t="s">
        <v>76</v>
      </c>
      <c r="E633" s="32" t="s">
        <v>1397</v>
      </c>
      <c r="F633" s="32" t="s">
        <v>1436</v>
      </c>
      <c r="G633" s="32" t="s">
        <v>1445</v>
      </c>
      <c r="H633" s="18" t="s">
        <v>1431</v>
      </c>
    </row>
    <row r="634" spans="1:8" x14ac:dyDescent="0.25">
      <c r="A634" s="23" t="s">
        <v>1203</v>
      </c>
      <c r="B634" s="22" t="s">
        <v>1202</v>
      </c>
      <c r="C634" s="23" t="s">
        <v>1401</v>
      </c>
      <c r="D634" s="23" t="s">
        <v>10</v>
      </c>
      <c r="E634" s="23" t="s">
        <v>1398</v>
      </c>
      <c r="F634" s="23" t="s">
        <v>1442</v>
      </c>
      <c r="G634" s="23" t="s">
        <v>1422</v>
      </c>
      <c r="H634" s="23" t="s">
        <v>1432</v>
      </c>
    </row>
    <row r="635" spans="1:8" x14ac:dyDescent="0.25">
      <c r="A635" s="15" t="s">
        <v>1205</v>
      </c>
      <c r="B635" s="16" t="s">
        <v>1204</v>
      </c>
      <c r="C635" s="15"/>
      <c r="D635" s="15" t="s">
        <v>7</v>
      </c>
      <c r="E635" s="15" t="s">
        <v>1391</v>
      </c>
      <c r="F635" s="18" t="s">
        <v>1439</v>
      </c>
      <c r="G635" s="36" t="s">
        <v>1429</v>
      </c>
      <c r="H635" s="15" t="s">
        <v>1431</v>
      </c>
    </row>
    <row r="636" spans="1:8" x14ac:dyDescent="0.25">
      <c r="A636" s="38" t="s">
        <v>1207</v>
      </c>
      <c r="B636" s="37" t="s">
        <v>1206</v>
      </c>
      <c r="C636" s="36" t="s">
        <v>126</v>
      </c>
      <c r="D636" s="36" t="s">
        <v>13</v>
      </c>
      <c r="E636" s="36" t="s">
        <v>1393</v>
      </c>
      <c r="F636" s="36" t="s">
        <v>1440</v>
      </c>
      <c r="G636" s="36" t="s">
        <v>1424</v>
      </c>
      <c r="H636" s="36" t="s">
        <v>1432</v>
      </c>
    </row>
    <row r="637" spans="1:8" x14ac:dyDescent="0.25">
      <c r="A637" s="32" t="s">
        <v>1209</v>
      </c>
      <c r="B637" s="33" t="s">
        <v>1208</v>
      </c>
      <c r="C637" s="32"/>
      <c r="D637" s="32" t="s">
        <v>76</v>
      </c>
      <c r="E637" s="32" t="s">
        <v>1397</v>
      </c>
      <c r="F637" s="32" t="s">
        <v>1436</v>
      </c>
      <c r="G637" s="32" t="s">
        <v>1445</v>
      </c>
      <c r="H637" s="32" t="s">
        <v>1430</v>
      </c>
    </row>
    <row r="638" spans="1:8" x14ac:dyDescent="0.25">
      <c r="A638" s="32" t="s">
        <v>1211</v>
      </c>
      <c r="B638" s="33" t="s">
        <v>1210</v>
      </c>
      <c r="C638" s="32"/>
      <c r="D638" s="32" t="s">
        <v>48</v>
      </c>
      <c r="E638" s="32" t="s">
        <v>1387</v>
      </c>
      <c r="F638" s="32" t="s">
        <v>1437</v>
      </c>
      <c r="G638" s="32" t="s">
        <v>1422</v>
      </c>
      <c r="H638" s="32" t="s">
        <v>1430</v>
      </c>
    </row>
    <row r="639" spans="1:8" x14ac:dyDescent="0.25">
      <c r="A639" s="34" t="s">
        <v>1213</v>
      </c>
      <c r="B639" s="33" t="s">
        <v>1212</v>
      </c>
      <c r="C639" s="34"/>
      <c r="D639" s="32" t="s">
        <v>48</v>
      </c>
      <c r="E639" s="32" t="s">
        <v>1387</v>
      </c>
      <c r="F639" s="32" t="s">
        <v>1437</v>
      </c>
      <c r="G639" s="32" t="s">
        <v>1422</v>
      </c>
      <c r="H639" s="32" t="s">
        <v>1430</v>
      </c>
    </row>
    <row r="640" spans="1:8" x14ac:dyDescent="0.25">
      <c r="A640" s="32" t="s">
        <v>1215</v>
      </c>
      <c r="B640" s="33" t="s">
        <v>1214</v>
      </c>
      <c r="C640" s="32" t="s">
        <v>1411</v>
      </c>
      <c r="D640" s="32" t="s">
        <v>18</v>
      </c>
      <c r="E640" s="32" t="s">
        <v>1384</v>
      </c>
      <c r="F640" s="32" t="s">
        <v>1436</v>
      </c>
      <c r="G640" s="32" t="s">
        <v>1445</v>
      </c>
      <c r="H640" s="32" t="s">
        <v>1430</v>
      </c>
    </row>
    <row r="641" spans="1:8" x14ac:dyDescent="0.25">
      <c r="A641" s="32" t="s">
        <v>1372</v>
      </c>
      <c r="B641" s="33" t="s">
        <v>1216</v>
      </c>
      <c r="C641" s="32"/>
      <c r="D641" s="18" t="s">
        <v>76</v>
      </c>
      <c r="E641" s="32" t="s">
        <v>1397</v>
      </c>
      <c r="F641" s="32" t="s">
        <v>1436</v>
      </c>
      <c r="G641" s="32" t="s">
        <v>1445</v>
      </c>
      <c r="H641" s="18" t="s">
        <v>1431</v>
      </c>
    </row>
    <row r="642" spans="1:8" x14ac:dyDescent="0.25">
      <c r="A642" s="25" t="s">
        <v>1373</v>
      </c>
      <c r="B642" s="26" t="s">
        <v>1217</v>
      </c>
      <c r="C642" s="25"/>
      <c r="D642" s="25" t="s">
        <v>7</v>
      </c>
      <c r="E642" s="25" t="s">
        <v>1391</v>
      </c>
      <c r="F642" s="18" t="s">
        <v>1439</v>
      </c>
      <c r="G642" s="36" t="s">
        <v>1429</v>
      </c>
      <c r="H642" s="25" t="s">
        <v>1431</v>
      </c>
    </row>
    <row r="643" spans="1:8" x14ac:dyDescent="0.25">
      <c r="A643" s="28" t="s">
        <v>1374</v>
      </c>
      <c r="B643" s="29" t="s">
        <v>1218</v>
      </c>
      <c r="C643" s="28"/>
      <c r="D643" s="31" t="s">
        <v>4</v>
      </c>
      <c r="E643" s="28" t="s">
        <v>1389</v>
      </c>
      <c r="F643" s="28" t="s">
        <v>1438</v>
      </c>
      <c r="G643" s="28" t="s">
        <v>1423</v>
      </c>
      <c r="H643" s="28" t="s">
        <v>1430</v>
      </c>
    </row>
    <row r="644" spans="1:8" x14ac:dyDescent="0.25">
      <c r="A644" s="32" t="s">
        <v>1375</v>
      </c>
      <c r="B644" s="33" t="s">
        <v>1219</v>
      </c>
      <c r="C644" s="32"/>
      <c r="D644" s="32" t="s">
        <v>18</v>
      </c>
      <c r="E644" s="32" t="s">
        <v>1384</v>
      </c>
      <c r="F644" s="32" t="s">
        <v>1436</v>
      </c>
      <c r="G644" s="32" t="s">
        <v>1445</v>
      </c>
      <c r="H644" s="32" t="s">
        <v>1430</v>
      </c>
    </row>
    <row r="645" spans="1:8" x14ac:dyDescent="0.25">
      <c r="A645" s="32" t="s">
        <v>1221</v>
      </c>
      <c r="B645" s="33" t="s">
        <v>1220</v>
      </c>
      <c r="C645" s="32"/>
      <c r="D645" s="32" t="s">
        <v>48</v>
      </c>
      <c r="E645" s="32" t="s">
        <v>1387</v>
      </c>
      <c r="F645" s="32" t="s">
        <v>1437</v>
      </c>
      <c r="G645" s="32" t="s">
        <v>1422</v>
      </c>
      <c r="H645" s="32" t="s">
        <v>1430</v>
      </c>
    </row>
    <row r="646" spans="1:8" x14ac:dyDescent="0.25">
      <c r="A646" s="32" t="s">
        <v>1376</v>
      </c>
      <c r="B646" s="33" t="s">
        <v>1222</v>
      </c>
      <c r="C646" s="32"/>
      <c r="D646" s="18" t="s">
        <v>76</v>
      </c>
      <c r="E646" s="32" t="s">
        <v>1397</v>
      </c>
      <c r="F646" s="32" t="s">
        <v>1436</v>
      </c>
      <c r="G646" s="32" t="s">
        <v>1445</v>
      </c>
      <c r="H646" s="18" t="s">
        <v>1431</v>
      </c>
    </row>
    <row r="647" spans="1:8" x14ac:dyDescent="0.25">
      <c r="A647" s="36" t="s">
        <v>1377</v>
      </c>
      <c r="B647" s="37" t="s">
        <v>1223</v>
      </c>
      <c r="C647" s="36"/>
      <c r="D647" s="36" t="s">
        <v>36</v>
      </c>
      <c r="E647" s="36" t="s">
        <v>1395</v>
      </c>
      <c r="F647" s="25" t="s">
        <v>1441</v>
      </c>
      <c r="G647" s="25" t="s">
        <v>30</v>
      </c>
      <c r="H647" s="36" t="s">
        <v>1432</v>
      </c>
    </row>
    <row r="648" spans="1:8" x14ac:dyDescent="0.25">
      <c r="A648" s="32" t="s">
        <v>1225</v>
      </c>
      <c r="B648" s="33" t="s">
        <v>1224</v>
      </c>
      <c r="C648" s="32"/>
      <c r="D648" s="32" t="s">
        <v>18</v>
      </c>
      <c r="E648" s="32" t="s">
        <v>1384</v>
      </c>
      <c r="F648" s="32" t="s">
        <v>1436</v>
      </c>
      <c r="G648" s="32" t="s">
        <v>1445</v>
      </c>
      <c r="H648" s="32" t="s">
        <v>1430</v>
      </c>
    </row>
    <row r="649" spans="1:8" x14ac:dyDescent="0.25">
      <c r="A649" s="23" t="s">
        <v>1378</v>
      </c>
      <c r="B649" s="22" t="s">
        <v>1226</v>
      </c>
      <c r="C649" s="23"/>
      <c r="D649" s="23" t="s">
        <v>10</v>
      </c>
      <c r="E649" s="23" t="s">
        <v>1398</v>
      </c>
      <c r="F649" s="23" t="s">
        <v>1442</v>
      </c>
      <c r="G649" s="23" t="s">
        <v>1422</v>
      </c>
      <c r="H649" s="23" t="s">
        <v>1432</v>
      </c>
    </row>
    <row r="650" spans="1:8" x14ac:dyDescent="0.25">
      <c r="A650" s="28" t="s">
        <v>1228</v>
      </c>
      <c r="B650" s="29" t="s">
        <v>1227</v>
      </c>
      <c r="C650" s="28"/>
      <c r="D650" s="28" t="s">
        <v>4</v>
      </c>
      <c r="E650" s="28" t="s">
        <v>1389</v>
      </c>
      <c r="F650" s="28" t="s">
        <v>1438</v>
      </c>
      <c r="G650" s="28" t="s">
        <v>1423</v>
      </c>
      <c r="H650" s="28" t="s">
        <v>1430</v>
      </c>
    </row>
    <row r="651" spans="1:8" x14ac:dyDescent="0.25">
      <c r="A651" s="17" t="s">
        <v>1379</v>
      </c>
      <c r="B651" s="16" t="s">
        <v>1229</v>
      </c>
      <c r="C651" s="17"/>
      <c r="D651" s="15" t="s">
        <v>7</v>
      </c>
      <c r="E651" s="15" t="s">
        <v>1391</v>
      </c>
      <c r="F651" s="18" t="s">
        <v>1439</v>
      </c>
      <c r="G651" s="36" t="s">
        <v>1429</v>
      </c>
      <c r="H651" s="15" t="s">
        <v>1431</v>
      </c>
    </row>
    <row r="652" spans="1:8" x14ac:dyDescent="0.25">
      <c r="A652" s="32" t="s">
        <v>1233</v>
      </c>
      <c r="B652" s="33" t="s">
        <v>1232</v>
      </c>
      <c r="C652" s="32"/>
      <c r="D652" s="32" t="s">
        <v>18</v>
      </c>
      <c r="E652" s="32" t="s">
        <v>1384</v>
      </c>
      <c r="F652" s="32" t="s">
        <v>1436</v>
      </c>
      <c r="G652" s="32" t="s">
        <v>1445</v>
      </c>
      <c r="H652" s="32" t="s">
        <v>1430</v>
      </c>
    </row>
    <row r="653" spans="1:8" x14ac:dyDescent="0.25">
      <c r="A653" s="38" t="s">
        <v>1235</v>
      </c>
      <c r="B653" s="37" t="s">
        <v>1234</v>
      </c>
      <c r="C653" s="38"/>
      <c r="D653" s="36" t="s">
        <v>36</v>
      </c>
      <c r="E653" s="36" t="s">
        <v>1395</v>
      </c>
      <c r="F653" s="25" t="s">
        <v>1441</v>
      </c>
      <c r="G653" s="25" t="s">
        <v>30</v>
      </c>
      <c r="H653" s="36" t="s">
        <v>1432</v>
      </c>
    </row>
    <row r="654" spans="1:8" x14ac:dyDescent="0.25">
      <c r="A654" s="28" t="s">
        <v>1237</v>
      </c>
      <c r="B654" s="29" t="s">
        <v>1236</v>
      </c>
      <c r="C654" s="28"/>
      <c r="D654" s="28" t="s">
        <v>55</v>
      </c>
      <c r="E654" s="28" t="s">
        <v>1388</v>
      </c>
      <c r="F654" s="32" t="s">
        <v>1437</v>
      </c>
      <c r="G654" s="25" t="s">
        <v>1423</v>
      </c>
      <c r="H654" s="28" t="s">
        <v>1430</v>
      </c>
    </row>
    <row r="655" spans="1:8" x14ac:dyDescent="0.25">
      <c r="A655" s="38" t="s">
        <v>1239</v>
      </c>
      <c r="B655" s="37" t="s">
        <v>1238</v>
      </c>
      <c r="C655" s="38"/>
      <c r="D655" s="36" t="s">
        <v>36</v>
      </c>
      <c r="E655" s="36" t="s">
        <v>1395</v>
      </c>
      <c r="F655" s="25" t="s">
        <v>1441</v>
      </c>
      <c r="G655" s="25" t="s">
        <v>30</v>
      </c>
      <c r="H655" s="36" t="s">
        <v>1432</v>
      </c>
    </row>
    <row r="656" spans="1:8" x14ac:dyDescent="0.25">
      <c r="A656" s="36" t="s">
        <v>1241</v>
      </c>
      <c r="B656" s="37" t="s">
        <v>1240</v>
      </c>
      <c r="C656" s="36"/>
      <c r="D656" s="36" t="s">
        <v>13</v>
      </c>
      <c r="E656" s="36" t="s">
        <v>1393</v>
      </c>
      <c r="F656" s="36" t="s">
        <v>1440</v>
      </c>
      <c r="G656" s="36" t="s">
        <v>1424</v>
      </c>
      <c r="H656" s="36" t="s">
        <v>1432</v>
      </c>
    </row>
    <row r="657" spans="1:8" x14ac:dyDescent="0.25">
      <c r="A657" s="36" t="s">
        <v>1244</v>
      </c>
      <c r="B657" s="37" t="s">
        <v>1243</v>
      </c>
      <c r="C657" s="36"/>
      <c r="D657" s="36" t="s">
        <v>13</v>
      </c>
      <c r="E657" s="36" t="s">
        <v>1393</v>
      </c>
      <c r="F657" s="36" t="s">
        <v>1440</v>
      </c>
      <c r="G657" s="36" t="s">
        <v>1424</v>
      </c>
      <c r="H657" s="36" t="s">
        <v>1432</v>
      </c>
    </row>
    <row r="658" spans="1:8" x14ac:dyDescent="0.25">
      <c r="A658" s="21" t="s">
        <v>1246</v>
      </c>
      <c r="B658" s="22" t="s">
        <v>1245</v>
      </c>
      <c r="C658" s="23" t="s">
        <v>121</v>
      </c>
      <c r="D658" s="23" t="s">
        <v>10</v>
      </c>
      <c r="E658" s="23" t="s">
        <v>1398</v>
      </c>
      <c r="F658" s="23" t="s">
        <v>1442</v>
      </c>
      <c r="G658" s="23" t="s">
        <v>1422</v>
      </c>
      <c r="H658" s="23" t="s">
        <v>1432</v>
      </c>
    </row>
    <row r="659" spans="1:8" x14ac:dyDescent="0.25">
      <c r="A659" s="32" t="s">
        <v>1248</v>
      </c>
      <c r="B659" s="33" t="s">
        <v>1247</v>
      </c>
      <c r="C659" s="32"/>
      <c r="D659" s="18" t="s">
        <v>76</v>
      </c>
      <c r="E659" s="32" t="s">
        <v>1397</v>
      </c>
      <c r="F659" s="32" t="s">
        <v>1436</v>
      </c>
      <c r="G659" s="32" t="s">
        <v>1445</v>
      </c>
      <c r="H659" s="18" t="s">
        <v>1431</v>
      </c>
    </row>
    <row r="660" spans="1:8" x14ac:dyDescent="0.25">
      <c r="A660" s="18" t="s">
        <v>1381</v>
      </c>
      <c r="B660" s="19" t="s">
        <v>1249</v>
      </c>
      <c r="C660" s="18"/>
      <c r="D660" s="18" t="s">
        <v>7</v>
      </c>
      <c r="E660" s="18" t="s">
        <v>1391</v>
      </c>
      <c r="F660" s="18" t="s">
        <v>1439</v>
      </c>
      <c r="G660" s="36" t="s">
        <v>1429</v>
      </c>
      <c r="H660" s="18" t="s">
        <v>1431</v>
      </c>
    </row>
    <row r="661" spans="1:8" x14ac:dyDescent="0.25">
      <c r="A661" s="18" t="s">
        <v>1251</v>
      </c>
      <c r="B661" s="19" t="s">
        <v>1250</v>
      </c>
      <c r="C661" s="18" t="s">
        <v>514</v>
      </c>
      <c r="D661" s="18" t="s">
        <v>26</v>
      </c>
      <c r="E661" s="18" t="s">
        <v>1390</v>
      </c>
      <c r="F661" s="18" t="s">
        <v>1444</v>
      </c>
      <c r="G661" s="18" t="s">
        <v>1429</v>
      </c>
      <c r="H661" s="18" t="s">
        <v>1431</v>
      </c>
    </row>
    <row r="662" spans="1:8" x14ac:dyDescent="0.25">
      <c r="A662" s="28" t="s">
        <v>1253</v>
      </c>
      <c r="B662" s="29" t="s">
        <v>1252</v>
      </c>
      <c r="C662" s="28"/>
      <c r="D662" s="28" t="s">
        <v>4</v>
      </c>
      <c r="E662" s="28" t="s">
        <v>1389</v>
      </c>
      <c r="F662" s="28" t="s">
        <v>1438</v>
      </c>
      <c r="G662" s="28" t="s">
        <v>1423</v>
      </c>
      <c r="H662" s="28" t="s">
        <v>1430</v>
      </c>
    </row>
    <row r="663" spans="1:8" x14ac:dyDescent="0.25">
      <c r="A663" s="36" t="s">
        <v>1255</v>
      </c>
      <c r="B663" s="37" t="s">
        <v>1254</v>
      </c>
      <c r="C663" s="36"/>
      <c r="D663" s="36" t="s">
        <v>13</v>
      </c>
      <c r="E663" s="36" t="s">
        <v>1393</v>
      </c>
      <c r="F663" s="36" t="s">
        <v>1440</v>
      </c>
      <c r="G663" s="36" t="s">
        <v>1424</v>
      </c>
      <c r="H663" s="36" t="s">
        <v>1432</v>
      </c>
    </row>
    <row r="664" spans="1:8" x14ac:dyDescent="0.25">
      <c r="A664" s="25" t="s">
        <v>1257</v>
      </c>
      <c r="B664" s="26" t="s">
        <v>1256</v>
      </c>
      <c r="C664" s="25"/>
      <c r="D664" s="25" t="s">
        <v>29</v>
      </c>
      <c r="E664" s="25" t="s">
        <v>1394</v>
      </c>
      <c r="F664" s="25" t="s">
        <v>1441</v>
      </c>
      <c r="G664" s="25" t="s">
        <v>30</v>
      </c>
      <c r="H664" s="25" t="s">
        <v>1432</v>
      </c>
    </row>
    <row r="665" spans="1:8" x14ac:dyDescent="0.25">
      <c r="A665" s="36" t="s">
        <v>1259</v>
      </c>
      <c r="B665" s="37" t="s">
        <v>1258</v>
      </c>
      <c r="C665" s="36"/>
      <c r="D665" s="36" t="s">
        <v>13</v>
      </c>
      <c r="E665" s="36" t="s">
        <v>1393</v>
      </c>
      <c r="F665" s="36" t="s">
        <v>1440</v>
      </c>
      <c r="G665" s="36" t="s">
        <v>1424</v>
      </c>
      <c r="H665" s="36" t="s">
        <v>1432</v>
      </c>
    </row>
    <row r="666" spans="1:8" x14ac:dyDescent="0.25">
      <c r="A666" s="25" t="s">
        <v>1382</v>
      </c>
      <c r="B666" s="26" t="s">
        <v>1260</v>
      </c>
      <c r="C666" s="25"/>
      <c r="D666" s="25" t="s">
        <v>7</v>
      </c>
      <c r="E666" s="25" t="s">
        <v>1391</v>
      </c>
      <c r="F666" s="18" t="s">
        <v>1439</v>
      </c>
      <c r="G666" s="36" t="s">
        <v>1429</v>
      </c>
      <c r="H666" s="25" t="s">
        <v>1431</v>
      </c>
    </row>
    <row r="667" spans="1:8" x14ac:dyDescent="0.25">
      <c r="A667" s="18" t="s">
        <v>1383</v>
      </c>
      <c r="B667" s="19" t="s">
        <v>1261</v>
      </c>
      <c r="C667" s="18" t="s">
        <v>1383</v>
      </c>
      <c r="D667" s="18" t="s">
        <v>26</v>
      </c>
      <c r="E667" s="18" t="s">
        <v>1390</v>
      </c>
      <c r="F667" s="18" t="s">
        <v>1444</v>
      </c>
      <c r="G667" s="18" t="s">
        <v>1429</v>
      </c>
      <c r="H667" s="18" t="s">
        <v>1431</v>
      </c>
    </row>
    <row r="668" spans="1:8" x14ac:dyDescent="0.25">
      <c r="A668" s="32" t="s">
        <v>1263</v>
      </c>
      <c r="B668" s="33" t="s">
        <v>1262</v>
      </c>
      <c r="C668" s="32"/>
      <c r="D668" s="32" t="s">
        <v>18</v>
      </c>
      <c r="E668" s="32" t="s">
        <v>1384</v>
      </c>
      <c r="F668" s="32" t="s">
        <v>1436</v>
      </c>
      <c r="G668" s="32" t="s">
        <v>1445</v>
      </c>
      <c r="H668" s="32" t="s">
        <v>1430</v>
      </c>
    </row>
    <row r="669" spans="1:8" x14ac:dyDescent="0.25">
      <c r="A669" s="23" t="s">
        <v>1265</v>
      </c>
      <c r="B669" s="22" t="s">
        <v>1264</v>
      </c>
      <c r="C669" s="23" t="s">
        <v>58</v>
      </c>
      <c r="D669" s="23" t="s">
        <v>10</v>
      </c>
      <c r="E669" s="23" t="s">
        <v>1398</v>
      </c>
      <c r="F669" s="23" t="s">
        <v>1442</v>
      </c>
      <c r="G669" s="23" t="s">
        <v>1443</v>
      </c>
      <c r="H669" s="23" t="s">
        <v>1432</v>
      </c>
    </row>
    <row r="670" spans="1:8" x14ac:dyDescent="0.25">
      <c r="A670" s="18" t="s">
        <v>1267</v>
      </c>
      <c r="B670" s="19" t="s">
        <v>1266</v>
      </c>
      <c r="C670" s="20" t="s">
        <v>1160</v>
      </c>
      <c r="D670" s="18" t="s">
        <v>26</v>
      </c>
      <c r="E670" s="18" t="s">
        <v>1390</v>
      </c>
      <c r="F670" s="18" t="s">
        <v>1444</v>
      </c>
      <c r="G670" s="18" t="s">
        <v>1429</v>
      </c>
      <c r="H670" s="18" t="s">
        <v>1431</v>
      </c>
    </row>
    <row r="671" spans="1:8" x14ac:dyDescent="0.25">
      <c r="A671" s="36" t="s">
        <v>1269</v>
      </c>
      <c r="B671" s="37" t="s">
        <v>1268</v>
      </c>
      <c r="C671" s="36"/>
      <c r="D671" s="36" t="s">
        <v>13</v>
      </c>
      <c r="E671" s="36" t="s">
        <v>1393</v>
      </c>
      <c r="F671" s="36" t="s">
        <v>1440</v>
      </c>
      <c r="G671" s="36" t="s">
        <v>1424</v>
      </c>
      <c r="H671" s="36" t="s">
        <v>1432</v>
      </c>
    </row>
    <row r="672" spans="1:8" x14ac:dyDescent="0.25">
      <c r="A672" s="25" t="s">
        <v>1271</v>
      </c>
      <c r="B672" s="26" t="s">
        <v>1270</v>
      </c>
      <c r="C672" s="25"/>
      <c r="D672" s="25" t="s">
        <v>29</v>
      </c>
      <c r="E672" s="25" t="s">
        <v>1394</v>
      </c>
      <c r="F672" s="25" t="s">
        <v>1441</v>
      </c>
      <c r="G672" s="25" t="s">
        <v>30</v>
      </c>
      <c r="H672" s="25" t="s">
        <v>1432</v>
      </c>
    </row>
    <row r="673" spans="1:8" x14ac:dyDescent="0.25">
      <c r="A673" s="23" t="s">
        <v>1273</v>
      </c>
      <c r="B673" s="22" t="s">
        <v>1272</v>
      </c>
      <c r="C673" s="23"/>
      <c r="D673" s="23" t="s">
        <v>10</v>
      </c>
      <c r="E673" s="23" t="s">
        <v>1398</v>
      </c>
      <c r="F673" s="23" t="s">
        <v>1442</v>
      </c>
      <c r="G673" s="23" t="s">
        <v>1422</v>
      </c>
      <c r="H673" s="23" t="s">
        <v>1432</v>
      </c>
    </row>
    <row r="674" spans="1:8" x14ac:dyDescent="0.25">
      <c r="A674" s="32" t="s">
        <v>1275</v>
      </c>
      <c r="B674" s="33" t="s">
        <v>1274</v>
      </c>
      <c r="C674" s="32"/>
      <c r="D674" s="18" t="s">
        <v>76</v>
      </c>
      <c r="E674" s="32" t="s">
        <v>1397</v>
      </c>
      <c r="F674" s="32" t="s">
        <v>1436</v>
      </c>
      <c r="G674" s="32" t="s">
        <v>1445</v>
      </c>
      <c r="H674" s="18" t="s">
        <v>1431</v>
      </c>
    </row>
    <row r="675" spans="1:8" x14ac:dyDescent="0.25">
      <c r="A675" s="20" t="s">
        <v>1160</v>
      </c>
      <c r="B675" s="19" t="s">
        <v>1159</v>
      </c>
      <c r="C675" s="20" t="s">
        <v>1160</v>
      </c>
      <c r="D675" s="18" t="s">
        <v>26</v>
      </c>
      <c r="E675" s="18" t="s">
        <v>1390</v>
      </c>
      <c r="F675" s="18" t="s">
        <v>1444</v>
      </c>
      <c r="G675" s="18" t="s">
        <v>1429</v>
      </c>
      <c r="H675" s="18" t="s">
        <v>1431</v>
      </c>
    </row>
    <row r="676" spans="1:8" x14ac:dyDescent="0.25">
      <c r="A676" s="36" t="s">
        <v>1277</v>
      </c>
      <c r="B676" s="37" t="s">
        <v>1276</v>
      </c>
      <c r="C676" s="36"/>
      <c r="D676" s="36" t="s">
        <v>13</v>
      </c>
      <c r="E676" s="36" t="s">
        <v>1393</v>
      </c>
      <c r="F676" s="36" t="s">
        <v>1440</v>
      </c>
      <c r="G676" s="36" t="s">
        <v>1424</v>
      </c>
      <c r="H676" s="36" t="s">
        <v>1432</v>
      </c>
    </row>
    <row r="677" spans="1:8" x14ac:dyDescent="0.25">
      <c r="A677" s="32" t="s">
        <v>1279</v>
      </c>
      <c r="B677" s="33" t="s">
        <v>1278</v>
      </c>
      <c r="C677" s="32"/>
      <c r="D677" s="18" t="s">
        <v>76</v>
      </c>
      <c r="E677" s="32" t="s">
        <v>1397</v>
      </c>
      <c r="F677" s="32" t="s">
        <v>1436</v>
      </c>
      <c r="G677" s="32" t="s">
        <v>1445</v>
      </c>
      <c r="H677" s="18" t="s">
        <v>1431</v>
      </c>
    </row>
    <row r="678" spans="1:8" x14ac:dyDescent="0.25">
      <c r="A678" s="36" t="s">
        <v>1281</v>
      </c>
      <c r="B678" s="37" t="s">
        <v>1280</v>
      </c>
      <c r="C678" s="36"/>
      <c r="D678" s="36" t="s">
        <v>13</v>
      </c>
      <c r="E678" s="36" t="s">
        <v>1393</v>
      </c>
      <c r="F678" s="36" t="s">
        <v>1440</v>
      </c>
      <c r="G678" s="36" t="s">
        <v>1424</v>
      </c>
      <c r="H678" s="36" t="s">
        <v>1432</v>
      </c>
    </row>
    <row r="679" spans="1:8" x14ac:dyDescent="0.25">
      <c r="A679" s="23" t="s">
        <v>1283</v>
      </c>
      <c r="B679" s="22" t="s">
        <v>1282</v>
      </c>
      <c r="C679" s="23"/>
      <c r="D679" s="23" t="s">
        <v>10</v>
      </c>
      <c r="E679" s="23" t="s">
        <v>1398</v>
      </c>
      <c r="F679" s="23" t="s">
        <v>1442</v>
      </c>
      <c r="G679" s="23" t="s">
        <v>1422</v>
      </c>
      <c r="H679" s="23" t="s">
        <v>1432</v>
      </c>
    </row>
    <row r="680" spans="1:8" x14ac:dyDescent="0.25">
      <c r="A680" s="32" t="s">
        <v>1285</v>
      </c>
      <c r="B680" s="33" t="s">
        <v>1284</v>
      </c>
      <c r="C680" s="32"/>
      <c r="D680" s="18" t="s">
        <v>76</v>
      </c>
      <c r="E680" s="32" t="s">
        <v>1397</v>
      </c>
      <c r="F680" s="32" t="s">
        <v>1436</v>
      </c>
      <c r="G680" s="32" t="s">
        <v>1445</v>
      </c>
      <c r="H680" s="18" t="s">
        <v>1431</v>
      </c>
    </row>
    <row r="681" spans="1:8" x14ac:dyDescent="0.25">
      <c r="A681" s="34" t="s">
        <v>1287</v>
      </c>
      <c r="B681" s="33" t="s">
        <v>1286</v>
      </c>
      <c r="C681" s="34"/>
      <c r="D681" s="32" t="s">
        <v>18</v>
      </c>
      <c r="E681" s="32" t="s">
        <v>1384</v>
      </c>
      <c r="F681" s="32" t="s">
        <v>1436</v>
      </c>
      <c r="G681" s="32" t="s">
        <v>1445</v>
      </c>
      <c r="H681" s="32" t="s">
        <v>1430</v>
      </c>
    </row>
    <row r="682" spans="1:8" x14ac:dyDescent="0.25">
      <c r="A682" s="32" t="s">
        <v>1289</v>
      </c>
      <c r="B682" s="33" t="s">
        <v>1288</v>
      </c>
      <c r="C682" s="32"/>
      <c r="D682" s="32" t="s">
        <v>10</v>
      </c>
      <c r="E682" s="32" t="s">
        <v>1398</v>
      </c>
      <c r="F682" s="23" t="s">
        <v>1442</v>
      </c>
      <c r="G682" s="23" t="s">
        <v>1422</v>
      </c>
      <c r="H682" s="32" t="s">
        <v>1430</v>
      </c>
    </row>
    <row r="683" spans="1:8" x14ac:dyDescent="0.25">
      <c r="A683" s="23" t="s">
        <v>1231</v>
      </c>
      <c r="B683" s="22" t="s">
        <v>1230</v>
      </c>
      <c r="C683" s="23"/>
      <c r="D683" s="23" t="s">
        <v>10</v>
      </c>
      <c r="E683" s="23" t="s">
        <v>1398</v>
      </c>
      <c r="F683" s="23" t="s">
        <v>1442</v>
      </c>
      <c r="G683" s="23" t="s">
        <v>1443</v>
      </c>
      <c r="H683" s="23" t="s">
        <v>1432</v>
      </c>
    </row>
    <row r="685" spans="1:8" x14ac:dyDescent="0.25">
      <c r="A685" s="5"/>
      <c r="C685" s="5"/>
    </row>
    <row r="705" spans="1:3" x14ac:dyDescent="0.25">
      <c r="A705" s="5"/>
      <c r="C705" s="5"/>
    </row>
  </sheetData>
  <autoFilter ref="A8:G683"/>
  <sortState ref="A9:H683">
    <sortCondition ref="B10"/>
  </sortState>
  <conditionalFormatting sqref="A9:G683">
    <cfRule type="expression" dxfId="7" priority="8">
      <formula>$G9="Muriel"</formula>
    </cfRule>
    <cfRule type="expression" dxfId="6" priority="7">
      <formula>$G9="Linda"</formula>
    </cfRule>
    <cfRule type="expression" dxfId="5" priority="6">
      <formula>$G9="Sofia"</formula>
    </cfRule>
    <cfRule type="expression" dxfId="4" priority="5">
      <formula>$G9="Marjorie"</formula>
    </cfRule>
    <cfRule type="expression" dxfId="3" priority="4">
      <formula>$G9="Christine"</formula>
    </cfRule>
    <cfRule type="expression" dxfId="2" priority="3">
      <formula>$G9="Nadège"</formula>
    </cfRule>
    <cfRule type="expression" dxfId="1" priority="2">
      <formula>$G9="Christelle"</formula>
    </cfRule>
    <cfRule type="expression" dxfId="0" priority="1">
      <formula>$G9="Amélie"</formula>
    </cfRule>
  </conditionalFormatting>
  <dataValidations count="1">
    <dataValidation type="list" allowBlank="1" showInputMessage="1" sqref="A4">
      <formula1>IF(A4&lt;&gt;"",OFFSET(f_ville,MATCH(A4&amp;"*",f_ville,0)-1,,COUNTIF(f_ville,A4&amp;"*"),1),f_ville)</formula1>
    </dataValidation>
  </dataValidations>
  <pageMargins left="0.7" right="0.7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97"/>
  <sheetViews>
    <sheetView topLeftCell="A515" workbookViewId="0">
      <selection activeCell="A197" sqref="A197"/>
    </sheetView>
  </sheetViews>
  <sheetFormatPr baseColWidth="10" defaultRowHeight="15" x14ac:dyDescent="0.25"/>
  <cols>
    <col min="1" max="1" width="32.42578125" style="2" bestFit="1" customWidth="1"/>
  </cols>
  <sheetData>
    <row r="1" spans="1:1" x14ac:dyDescent="0.25">
      <c r="A1" s="2" t="s">
        <v>3</v>
      </c>
    </row>
    <row r="2" spans="1:1" x14ac:dyDescent="0.25">
      <c r="A2" s="2" t="s">
        <v>6</v>
      </c>
    </row>
    <row r="3" spans="1:1" x14ac:dyDescent="0.25">
      <c r="A3" s="6" t="s">
        <v>9</v>
      </c>
    </row>
    <row r="4" spans="1:1" x14ac:dyDescent="0.25">
      <c r="A4" s="2" t="s">
        <v>12</v>
      </c>
    </row>
    <row r="5" spans="1:1" x14ac:dyDescent="0.25">
      <c r="A5" s="2" t="s">
        <v>15</v>
      </c>
    </row>
    <row r="6" spans="1:1" x14ac:dyDescent="0.25">
      <c r="A6" s="2" t="s">
        <v>17</v>
      </c>
    </row>
    <row r="7" spans="1:1" x14ac:dyDescent="0.25">
      <c r="A7" s="2" t="s">
        <v>20</v>
      </c>
    </row>
    <row r="8" spans="1:1" x14ac:dyDescent="0.25">
      <c r="A8" s="6" t="s">
        <v>23</v>
      </c>
    </row>
    <row r="9" spans="1:1" x14ac:dyDescent="0.25">
      <c r="A9" s="2" t="s">
        <v>25</v>
      </c>
    </row>
    <row r="10" spans="1:1" x14ac:dyDescent="0.25">
      <c r="A10" s="2" t="s">
        <v>28</v>
      </c>
    </row>
    <row r="11" spans="1:1" x14ac:dyDescent="0.25">
      <c r="A11" s="6" t="s">
        <v>32</v>
      </c>
    </row>
    <row r="12" spans="1:1" x14ac:dyDescent="0.25">
      <c r="A12" s="2" t="s">
        <v>35</v>
      </c>
    </row>
    <row r="13" spans="1:1" x14ac:dyDescent="0.25">
      <c r="A13" s="2" t="s">
        <v>38</v>
      </c>
    </row>
    <row r="14" spans="1:1" x14ac:dyDescent="0.25">
      <c r="A14" s="6" t="s">
        <v>40</v>
      </c>
    </row>
    <row r="15" spans="1:1" x14ac:dyDescent="0.25">
      <c r="A15" s="6" t="s">
        <v>42</v>
      </c>
    </row>
    <row r="16" spans="1:1" x14ac:dyDescent="0.25">
      <c r="A16" s="2" t="s">
        <v>45</v>
      </c>
    </row>
    <row r="17" spans="1:1" x14ac:dyDescent="0.25">
      <c r="A17" s="2" t="s">
        <v>47</v>
      </c>
    </row>
    <row r="18" spans="1:1" x14ac:dyDescent="0.25">
      <c r="A18" s="2" t="s">
        <v>50</v>
      </c>
    </row>
    <row r="19" spans="1:1" x14ac:dyDescent="0.25">
      <c r="A19" s="2" t="s">
        <v>52</v>
      </c>
    </row>
    <row r="20" spans="1:1" x14ac:dyDescent="0.25">
      <c r="A20" s="2" t="s">
        <v>54</v>
      </c>
    </row>
    <row r="21" spans="1:1" x14ac:dyDescent="0.25">
      <c r="A21" s="2" t="s">
        <v>57</v>
      </c>
    </row>
    <row r="22" spans="1:1" x14ac:dyDescent="0.25">
      <c r="A22" s="2" t="s">
        <v>60</v>
      </c>
    </row>
    <row r="23" spans="1:1" x14ac:dyDescent="0.25">
      <c r="A23" s="2" t="s">
        <v>63</v>
      </c>
    </row>
    <row r="24" spans="1:1" x14ac:dyDescent="0.25">
      <c r="A24" s="2" t="s">
        <v>65</v>
      </c>
    </row>
    <row r="25" spans="1:1" x14ac:dyDescent="0.25">
      <c r="A25" s="2" t="s">
        <v>68</v>
      </c>
    </row>
    <row r="26" spans="1:1" x14ac:dyDescent="0.25">
      <c r="A26" s="2" t="s">
        <v>70</v>
      </c>
    </row>
    <row r="27" spans="1:1" x14ac:dyDescent="0.25">
      <c r="A27" s="2" t="s">
        <v>72</v>
      </c>
    </row>
    <row r="28" spans="1:1" x14ac:dyDescent="0.25">
      <c r="A28" s="2" t="s">
        <v>75</v>
      </c>
    </row>
    <row r="29" spans="1:1" x14ac:dyDescent="0.25">
      <c r="A29" s="6" t="s">
        <v>78</v>
      </c>
    </row>
    <row r="30" spans="1:1" x14ac:dyDescent="0.25">
      <c r="A30" s="2" t="s">
        <v>80</v>
      </c>
    </row>
    <row r="31" spans="1:1" x14ac:dyDescent="0.25">
      <c r="A31" s="2" t="s">
        <v>82</v>
      </c>
    </row>
    <row r="32" spans="1:1" x14ac:dyDescent="0.25">
      <c r="A32" s="2" t="s">
        <v>84</v>
      </c>
    </row>
    <row r="33" spans="1:1" x14ac:dyDescent="0.25">
      <c r="A33" s="2" t="s">
        <v>87</v>
      </c>
    </row>
    <row r="34" spans="1:1" x14ac:dyDescent="0.25">
      <c r="A34" s="2" t="s">
        <v>89</v>
      </c>
    </row>
    <row r="35" spans="1:1" x14ac:dyDescent="0.25">
      <c r="A35" s="2" t="s">
        <v>92</v>
      </c>
    </row>
    <row r="36" spans="1:1" x14ac:dyDescent="0.25">
      <c r="A36" s="2" t="s">
        <v>96</v>
      </c>
    </row>
    <row r="37" spans="1:1" x14ac:dyDescent="0.25">
      <c r="A37" s="2" t="s">
        <v>98</v>
      </c>
    </row>
    <row r="38" spans="1:1" x14ac:dyDescent="0.25">
      <c r="A38" s="2" t="s">
        <v>100</v>
      </c>
    </row>
    <row r="39" spans="1:1" x14ac:dyDescent="0.25">
      <c r="A39" s="2" t="s">
        <v>102</v>
      </c>
    </row>
    <row r="40" spans="1:1" x14ac:dyDescent="0.25">
      <c r="A40" s="2" t="s">
        <v>104</v>
      </c>
    </row>
    <row r="41" spans="1:1" x14ac:dyDescent="0.25">
      <c r="A41" s="2" t="s">
        <v>106</v>
      </c>
    </row>
    <row r="42" spans="1:1" x14ac:dyDescent="0.25">
      <c r="A42" s="2" t="s">
        <v>108</v>
      </c>
    </row>
    <row r="43" spans="1:1" x14ac:dyDescent="0.25">
      <c r="A43" s="2" t="s">
        <v>112</v>
      </c>
    </row>
    <row r="44" spans="1:1" x14ac:dyDescent="0.25">
      <c r="A44" s="2" t="s">
        <v>114</v>
      </c>
    </row>
    <row r="45" spans="1:1" x14ac:dyDescent="0.25">
      <c r="A45" s="2" t="s">
        <v>116</v>
      </c>
    </row>
    <row r="46" spans="1:1" x14ac:dyDescent="0.25">
      <c r="A46" s="2" t="s">
        <v>118</v>
      </c>
    </row>
    <row r="47" spans="1:1" x14ac:dyDescent="0.25">
      <c r="A47" s="2" t="s">
        <v>120</v>
      </c>
    </row>
    <row r="48" spans="1:1" x14ac:dyDescent="0.25">
      <c r="A48" s="2" t="s">
        <v>123</v>
      </c>
    </row>
    <row r="49" spans="1:1" x14ac:dyDescent="0.25">
      <c r="A49" s="2" t="s">
        <v>125</v>
      </c>
    </row>
    <row r="50" spans="1:1" x14ac:dyDescent="0.25">
      <c r="A50" s="2" t="s">
        <v>128</v>
      </c>
    </row>
    <row r="51" spans="1:1" x14ac:dyDescent="0.25">
      <c r="A51" s="2" t="s">
        <v>130</v>
      </c>
    </row>
    <row r="52" spans="1:1" x14ac:dyDescent="0.25">
      <c r="A52" s="2" t="s">
        <v>133</v>
      </c>
    </row>
    <row r="53" spans="1:1" x14ac:dyDescent="0.25">
      <c r="A53" s="2" t="s">
        <v>135</v>
      </c>
    </row>
    <row r="54" spans="1:1" x14ac:dyDescent="0.25">
      <c r="A54" s="2" t="s">
        <v>138</v>
      </c>
    </row>
    <row r="55" spans="1:1" x14ac:dyDescent="0.25">
      <c r="A55" s="2" t="s">
        <v>140</v>
      </c>
    </row>
    <row r="56" spans="1:1" x14ac:dyDescent="0.25">
      <c r="A56" s="2" t="s">
        <v>142</v>
      </c>
    </row>
    <row r="57" spans="1:1" x14ac:dyDescent="0.25">
      <c r="A57" s="2" t="s">
        <v>144</v>
      </c>
    </row>
    <row r="58" spans="1:1" x14ac:dyDescent="0.25">
      <c r="A58" s="2" t="s">
        <v>146</v>
      </c>
    </row>
    <row r="59" spans="1:1" x14ac:dyDescent="0.25">
      <c r="A59" s="2" t="s">
        <v>148</v>
      </c>
    </row>
    <row r="60" spans="1:1" x14ac:dyDescent="0.25">
      <c r="A60" s="2" t="s">
        <v>151</v>
      </c>
    </row>
    <row r="61" spans="1:1" x14ac:dyDescent="0.25">
      <c r="A61" s="2" t="s">
        <v>153</v>
      </c>
    </row>
    <row r="62" spans="1:1" x14ac:dyDescent="0.25">
      <c r="A62" s="2" t="s">
        <v>155</v>
      </c>
    </row>
    <row r="63" spans="1:1" x14ac:dyDescent="0.25">
      <c r="A63" s="2" t="s">
        <v>157</v>
      </c>
    </row>
    <row r="64" spans="1:1" x14ac:dyDescent="0.25">
      <c r="A64" s="2" t="s">
        <v>159</v>
      </c>
    </row>
    <row r="65" spans="1:1" x14ac:dyDescent="0.25">
      <c r="A65" s="2" t="s">
        <v>161</v>
      </c>
    </row>
    <row r="66" spans="1:1" x14ac:dyDescent="0.25">
      <c r="A66" s="2" t="s">
        <v>164</v>
      </c>
    </row>
    <row r="67" spans="1:1" x14ac:dyDescent="0.25">
      <c r="A67" s="2" t="s">
        <v>166</v>
      </c>
    </row>
    <row r="68" spans="1:1" x14ac:dyDescent="0.25">
      <c r="A68" s="2" t="s">
        <v>168</v>
      </c>
    </row>
    <row r="69" spans="1:1" x14ac:dyDescent="0.25">
      <c r="A69" s="2" t="s">
        <v>171</v>
      </c>
    </row>
    <row r="70" spans="1:1" x14ac:dyDescent="0.25">
      <c r="A70" s="2" t="s">
        <v>174</v>
      </c>
    </row>
    <row r="71" spans="1:1" x14ac:dyDescent="0.25">
      <c r="A71" s="2" t="s">
        <v>177</v>
      </c>
    </row>
    <row r="72" spans="1:1" x14ac:dyDescent="0.25">
      <c r="A72" s="2" t="s">
        <v>179</v>
      </c>
    </row>
    <row r="73" spans="1:1" x14ac:dyDescent="0.25">
      <c r="A73" s="2" t="s">
        <v>183</v>
      </c>
    </row>
    <row r="74" spans="1:1" x14ac:dyDescent="0.25">
      <c r="A74" s="2" t="s">
        <v>185</v>
      </c>
    </row>
    <row r="75" spans="1:1" x14ac:dyDescent="0.25">
      <c r="A75" s="2" t="s">
        <v>187</v>
      </c>
    </row>
    <row r="76" spans="1:1" x14ac:dyDescent="0.25">
      <c r="A76" s="2" t="s">
        <v>189</v>
      </c>
    </row>
    <row r="77" spans="1:1" x14ac:dyDescent="0.25">
      <c r="A77" s="2" t="s">
        <v>191</v>
      </c>
    </row>
    <row r="78" spans="1:1" x14ac:dyDescent="0.25">
      <c r="A78" s="2" t="s">
        <v>194</v>
      </c>
    </row>
    <row r="79" spans="1:1" x14ac:dyDescent="0.25">
      <c r="A79" s="2" t="s">
        <v>196</v>
      </c>
    </row>
    <row r="80" spans="1:1" x14ac:dyDescent="0.25">
      <c r="A80" s="2" t="s">
        <v>200</v>
      </c>
    </row>
    <row r="81" spans="1:1" x14ac:dyDescent="0.25">
      <c r="A81" s="2" t="s">
        <v>202</v>
      </c>
    </row>
    <row r="82" spans="1:1" x14ac:dyDescent="0.25">
      <c r="A82" s="2" t="s">
        <v>204</v>
      </c>
    </row>
    <row r="83" spans="1:1" x14ac:dyDescent="0.25">
      <c r="A83" s="2" t="s">
        <v>206</v>
      </c>
    </row>
    <row r="84" spans="1:1" x14ac:dyDescent="0.25">
      <c r="A84" s="6" t="s">
        <v>208</v>
      </c>
    </row>
    <row r="85" spans="1:1" x14ac:dyDescent="0.25">
      <c r="A85" s="2" t="s">
        <v>210</v>
      </c>
    </row>
    <row r="86" spans="1:1" x14ac:dyDescent="0.25">
      <c r="A86" s="2" t="s">
        <v>212</v>
      </c>
    </row>
    <row r="87" spans="1:1" x14ac:dyDescent="0.25">
      <c r="A87" s="2" t="s">
        <v>214</v>
      </c>
    </row>
    <row r="88" spans="1:1" x14ac:dyDescent="0.25">
      <c r="A88" s="2" t="s">
        <v>217</v>
      </c>
    </row>
    <row r="89" spans="1:1" x14ac:dyDescent="0.25">
      <c r="A89" s="2" t="s">
        <v>219</v>
      </c>
    </row>
    <row r="90" spans="1:1" x14ac:dyDescent="0.25">
      <c r="A90" s="2" t="s">
        <v>221</v>
      </c>
    </row>
    <row r="91" spans="1:1" x14ac:dyDescent="0.25">
      <c r="A91" s="2" t="s">
        <v>223</v>
      </c>
    </row>
    <row r="92" spans="1:1" x14ac:dyDescent="0.25">
      <c r="A92" s="2" t="s">
        <v>225</v>
      </c>
    </row>
    <row r="93" spans="1:1" x14ac:dyDescent="0.25">
      <c r="A93" s="2" t="s">
        <v>227</v>
      </c>
    </row>
    <row r="94" spans="1:1" x14ac:dyDescent="0.25">
      <c r="A94" s="2" t="s">
        <v>229</v>
      </c>
    </row>
    <row r="95" spans="1:1" x14ac:dyDescent="0.25">
      <c r="A95" s="2" t="s">
        <v>231</v>
      </c>
    </row>
    <row r="96" spans="1:1" x14ac:dyDescent="0.25">
      <c r="A96" s="2" t="s">
        <v>233</v>
      </c>
    </row>
    <row r="97" spans="1:1" x14ac:dyDescent="0.25">
      <c r="A97" s="2" t="s">
        <v>235</v>
      </c>
    </row>
    <row r="98" spans="1:1" x14ac:dyDescent="0.25">
      <c r="A98" s="2" t="s">
        <v>237</v>
      </c>
    </row>
    <row r="99" spans="1:1" x14ac:dyDescent="0.25">
      <c r="A99" s="2" t="s">
        <v>239</v>
      </c>
    </row>
    <row r="100" spans="1:1" x14ac:dyDescent="0.25">
      <c r="A100" s="2" t="s">
        <v>241</v>
      </c>
    </row>
    <row r="101" spans="1:1" x14ac:dyDescent="0.25">
      <c r="A101" s="2" t="s">
        <v>244</v>
      </c>
    </row>
    <row r="102" spans="1:1" x14ac:dyDescent="0.25">
      <c r="A102" s="2" t="s">
        <v>246</v>
      </c>
    </row>
    <row r="103" spans="1:1" x14ac:dyDescent="0.25">
      <c r="A103" s="2" t="s">
        <v>248</v>
      </c>
    </row>
    <row r="104" spans="1:1" x14ac:dyDescent="0.25">
      <c r="A104" s="2" t="s">
        <v>250</v>
      </c>
    </row>
    <row r="105" spans="1:1" x14ac:dyDescent="0.25">
      <c r="A105" s="2" t="s">
        <v>252</v>
      </c>
    </row>
    <row r="106" spans="1:1" x14ac:dyDescent="0.25">
      <c r="A106" s="2" t="s">
        <v>254</v>
      </c>
    </row>
    <row r="107" spans="1:1" x14ac:dyDescent="0.25">
      <c r="A107" s="2" t="s">
        <v>256</v>
      </c>
    </row>
    <row r="108" spans="1:1" x14ac:dyDescent="0.25">
      <c r="A108" s="2" t="s">
        <v>258</v>
      </c>
    </row>
    <row r="109" spans="1:1" x14ac:dyDescent="0.25">
      <c r="A109" s="2" t="s">
        <v>260</v>
      </c>
    </row>
    <row r="110" spans="1:1" x14ac:dyDescent="0.25">
      <c r="A110" s="2" t="s">
        <v>262</v>
      </c>
    </row>
    <row r="111" spans="1:1" x14ac:dyDescent="0.25">
      <c r="A111" s="2" t="s">
        <v>264</v>
      </c>
    </row>
    <row r="112" spans="1:1" x14ac:dyDescent="0.25">
      <c r="A112" s="2" t="s">
        <v>266</v>
      </c>
    </row>
    <row r="113" spans="1:1" x14ac:dyDescent="0.25">
      <c r="A113" s="2" t="s">
        <v>268</v>
      </c>
    </row>
    <row r="114" spans="1:1" x14ac:dyDescent="0.25">
      <c r="A114" s="2" t="s">
        <v>270</v>
      </c>
    </row>
    <row r="115" spans="1:1" x14ac:dyDescent="0.25">
      <c r="A115" s="2" t="s">
        <v>272</v>
      </c>
    </row>
    <row r="116" spans="1:1" x14ac:dyDescent="0.25">
      <c r="A116" s="2" t="s">
        <v>274</v>
      </c>
    </row>
    <row r="117" spans="1:1" x14ac:dyDescent="0.25">
      <c r="A117" s="2" t="s">
        <v>276</v>
      </c>
    </row>
    <row r="118" spans="1:1" x14ac:dyDescent="0.25">
      <c r="A118" s="2" t="s">
        <v>278</v>
      </c>
    </row>
    <row r="119" spans="1:1" x14ac:dyDescent="0.25">
      <c r="A119" s="2" t="s">
        <v>280</v>
      </c>
    </row>
    <row r="120" spans="1:1" x14ac:dyDescent="0.25">
      <c r="A120" s="2" t="s">
        <v>282</v>
      </c>
    </row>
    <row r="121" spans="1:1" x14ac:dyDescent="0.25">
      <c r="A121" s="2" t="s">
        <v>284</v>
      </c>
    </row>
    <row r="122" spans="1:1" x14ac:dyDescent="0.25">
      <c r="A122" s="2" t="s">
        <v>286</v>
      </c>
    </row>
    <row r="123" spans="1:1" x14ac:dyDescent="0.25">
      <c r="A123" s="2" t="s">
        <v>288</v>
      </c>
    </row>
    <row r="124" spans="1:1" x14ac:dyDescent="0.25">
      <c r="A124" s="2" t="s">
        <v>290</v>
      </c>
    </row>
    <row r="125" spans="1:1" x14ac:dyDescent="0.25">
      <c r="A125" s="2" t="s">
        <v>292</v>
      </c>
    </row>
    <row r="126" spans="1:1" x14ac:dyDescent="0.25">
      <c r="A126" s="2" t="s">
        <v>294</v>
      </c>
    </row>
    <row r="127" spans="1:1" x14ac:dyDescent="0.25">
      <c r="A127" s="6" t="s">
        <v>302</v>
      </c>
    </row>
    <row r="128" spans="1:1" x14ac:dyDescent="0.25">
      <c r="A128" s="2" t="s">
        <v>304</v>
      </c>
    </row>
    <row r="129" spans="1:1" x14ac:dyDescent="0.25">
      <c r="A129" s="2" t="s">
        <v>306</v>
      </c>
    </row>
    <row r="130" spans="1:1" x14ac:dyDescent="0.25">
      <c r="A130" s="2" t="s">
        <v>308</v>
      </c>
    </row>
    <row r="131" spans="1:1" x14ac:dyDescent="0.25">
      <c r="A131" s="2" t="s">
        <v>310</v>
      </c>
    </row>
    <row r="132" spans="1:1" x14ac:dyDescent="0.25">
      <c r="A132" s="2" t="s">
        <v>312</v>
      </c>
    </row>
    <row r="133" spans="1:1" x14ac:dyDescent="0.25">
      <c r="A133" s="2" t="s">
        <v>315</v>
      </c>
    </row>
    <row r="134" spans="1:1" x14ac:dyDescent="0.25">
      <c r="A134" s="2" t="s">
        <v>317</v>
      </c>
    </row>
    <row r="135" spans="1:1" x14ac:dyDescent="0.25">
      <c r="A135" s="2" t="s">
        <v>319</v>
      </c>
    </row>
    <row r="136" spans="1:1" x14ac:dyDescent="0.25">
      <c r="A136" s="2" t="s">
        <v>321</v>
      </c>
    </row>
    <row r="137" spans="1:1" x14ac:dyDescent="0.25">
      <c r="A137" s="2" t="s">
        <v>323</v>
      </c>
    </row>
    <row r="138" spans="1:1" x14ac:dyDescent="0.25">
      <c r="A138" s="2" t="s">
        <v>325</v>
      </c>
    </row>
    <row r="139" spans="1:1" x14ac:dyDescent="0.25">
      <c r="A139" s="2" t="s">
        <v>327</v>
      </c>
    </row>
    <row r="140" spans="1:1" x14ac:dyDescent="0.25">
      <c r="A140" s="2" t="s">
        <v>329</v>
      </c>
    </row>
    <row r="141" spans="1:1" x14ac:dyDescent="0.25">
      <c r="A141" s="2" t="s">
        <v>331</v>
      </c>
    </row>
    <row r="142" spans="1:1" x14ac:dyDescent="0.25">
      <c r="A142" s="2" t="s">
        <v>333</v>
      </c>
    </row>
    <row r="143" spans="1:1" x14ac:dyDescent="0.25">
      <c r="A143" s="6" t="s">
        <v>335</v>
      </c>
    </row>
    <row r="144" spans="1:1" x14ac:dyDescent="0.25">
      <c r="A144" s="2" t="s">
        <v>337</v>
      </c>
    </row>
    <row r="145" spans="1:1" x14ac:dyDescent="0.25">
      <c r="A145" s="2" t="s">
        <v>339</v>
      </c>
    </row>
    <row r="146" spans="1:1" x14ac:dyDescent="0.25">
      <c r="A146" s="2" t="s">
        <v>342</v>
      </c>
    </row>
    <row r="147" spans="1:1" x14ac:dyDescent="0.25">
      <c r="A147" s="2" t="s">
        <v>344</v>
      </c>
    </row>
    <row r="148" spans="1:1" x14ac:dyDescent="0.25">
      <c r="A148" s="2" t="s">
        <v>346</v>
      </c>
    </row>
    <row r="149" spans="1:1" x14ac:dyDescent="0.25">
      <c r="A149" s="2" t="s">
        <v>348</v>
      </c>
    </row>
    <row r="150" spans="1:1" x14ac:dyDescent="0.25">
      <c r="A150" s="2" t="s">
        <v>350</v>
      </c>
    </row>
    <row r="151" spans="1:1" x14ac:dyDescent="0.25">
      <c r="A151" s="2" t="s">
        <v>352</v>
      </c>
    </row>
    <row r="152" spans="1:1" x14ac:dyDescent="0.25">
      <c r="A152" s="2" t="s">
        <v>354</v>
      </c>
    </row>
    <row r="153" spans="1:1" x14ac:dyDescent="0.25">
      <c r="A153" s="2" t="s">
        <v>356</v>
      </c>
    </row>
    <row r="154" spans="1:1" x14ac:dyDescent="0.25">
      <c r="A154" s="2" t="s">
        <v>358</v>
      </c>
    </row>
    <row r="155" spans="1:1" x14ac:dyDescent="0.25">
      <c r="A155" s="2" t="s">
        <v>360</v>
      </c>
    </row>
    <row r="156" spans="1:1" x14ac:dyDescent="0.25">
      <c r="A156" s="6" t="s">
        <v>363</v>
      </c>
    </row>
    <row r="157" spans="1:1" x14ac:dyDescent="0.25">
      <c r="A157" s="2" t="s">
        <v>365</v>
      </c>
    </row>
    <row r="158" spans="1:1" x14ac:dyDescent="0.25">
      <c r="A158" s="2" t="s">
        <v>367</v>
      </c>
    </row>
    <row r="159" spans="1:1" x14ac:dyDescent="0.25">
      <c r="A159" s="2" t="s">
        <v>369</v>
      </c>
    </row>
    <row r="160" spans="1:1" x14ac:dyDescent="0.25">
      <c r="A160" s="2" t="s">
        <v>372</v>
      </c>
    </row>
    <row r="161" spans="1:1" x14ac:dyDescent="0.25">
      <c r="A161" s="2" t="s">
        <v>375</v>
      </c>
    </row>
    <row r="162" spans="1:1" x14ac:dyDescent="0.25">
      <c r="A162" s="2" t="s">
        <v>377</v>
      </c>
    </row>
    <row r="163" spans="1:1" x14ac:dyDescent="0.25">
      <c r="A163" s="2" t="s">
        <v>379</v>
      </c>
    </row>
    <row r="164" spans="1:1" x14ac:dyDescent="0.25">
      <c r="A164" s="2" t="s">
        <v>381</v>
      </c>
    </row>
    <row r="165" spans="1:1" x14ac:dyDescent="0.25">
      <c r="A165" s="2" t="s">
        <v>385</v>
      </c>
    </row>
    <row r="166" spans="1:1" x14ac:dyDescent="0.25">
      <c r="A166" s="2" t="s">
        <v>387</v>
      </c>
    </row>
    <row r="167" spans="1:1" x14ac:dyDescent="0.25">
      <c r="A167" s="2" t="s">
        <v>389</v>
      </c>
    </row>
    <row r="168" spans="1:1" x14ac:dyDescent="0.25">
      <c r="A168" s="2" t="s">
        <v>391</v>
      </c>
    </row>
    <row r="169" spans="1:1" x14ac:dyDescent="0.25">
      <c r="A169" s="2" t="s">
        <v>393</v>
      </c>
    </row>
    <row r="170" spans="1:1" x14ac:dyDescent="0.25">
      <c r="A170" s="2" t="s">
        <v>395</v>
      </c>
    </row>
    <row r="171" spans="1:1" x14ac:dyDescent="0.25">
      <c r="A171" s="2" t="s">
        <v>397</v>
      </c>
    </row>
    <row r="172" spans="1:1" x14ac:dyDescent="0.25">
      <c r="A172" s="2" t="s">
        <v>399</v>
      </c>
    </row>
    <row r="173" spans="1:1" x14ac:dyDescent="0.25">
      <c r="A173" s="2" t="s">
        <v>401</v>
      </c>
    </row>
    <row r="174" spans="1:1" x14ac:dyDescent="0.25">
      <c r="A174" s="6" t="s">
        <v>403</v>
      </c>
    </row>
    <row r="175" spans="1:1" x14ac:dyDescent="0.25">
      <c r="A175" s="2" t="s">
        <v>405</v>
      </c>
    </row>
    <row r="176" spans="1:1" x14ac:dyDescent="0.25">
      <c r="A176" s="2" t="s">
        <v>407</v>
      </c>
    </row>
    <row r="177" spans="1:1" x14ac:dyDescent="0.25">
      <c r="A177" s="2" t="s">
        <v>409</v>
      </c>
    </row>
    <row r="178" spans="1:1" x14ac:dyDescent="0.25">
      <c r="A178" s="2" t="s">
        <v>411</v>
      </c>
    </row>
    <row r="179" spans="1:1" x14ac:dyDescent="0.25">
      <c r="A179" s="2" t="s">
        <v>413</v>
      </c>
    </row>
    <row r="180" spans="1:1" x14ac:dyDescent="0.25">
      <c r="A180" s="2" t="s">
        <v>415</v>
      </c>
    </row>
    <row r="181" spans="1:1" x14ac:dyDescent="0.25">
      <c r="A181" s="2" t="s">
        <v>417</v>
      </c>
    </row>
    <row r="182" spans="1:1" x14ac:dyDescent="0.25">
      <c r="A182" s="2" t="s">
        <v>419</v>
      </c>
    </row>
    <row r="183" spans="1:1" x14ac:dyDescent="0.25">
      <c r="A183" s="2" t="s">
        <v>421</v>
      </c>
    </row>
    <row r="184" spans="1:1" x14ac:dyDescent="0.25">
      <c r="A184" s="2" t="s">
        <v>423</v>
      </c>
    </row>
    <row r="185" spans="1:1" x14ac:dyDescent="0.25">
      <c r="A185" s="2" t="s">
        <v>425</v>
      </c>
    </row>
    <row r="186" spans="1:1" x14ac:dyDescent="0.25">
      <c r="A186" s="2" t="s">
        <v>427</v>
      </c>
    </row>
    <row r="187" spans="1:1" x14ac:dyDescent="0.25">
      <c r="A187" s="2" t="s">
        <v>429</v>
      </c>
    </row>
    <row r="188" spans="1:1" x14ac:dyDescent="0.25">
      <c r="A188" s="2" t="s">
        <v>431</v>
      </c>
    </row>
    <row r="189" spans="1:1" x14ac:dyDescent="0.25">
      <c r="A189" s="2" t="s">
        <v>433</v>
      </c>
    </row>
    <row r="190" spans="1:1" x14ac:dyDescent="0.25">
      <c r="A190" s="2" t="s">
        <v>435</v>
      </c>
    </row>
    <row r="191" spans="1:1" x14ac:dyDescent="0.25">
      <c r="A191" s="2" t="s">
        <v>437</v>
      </c>
    </row>
    <row r="192" spans="1:1" x14ac:dyDescent="0.25">
      <c r="A192" s="2" t="s">
        <v>439</v>
      </c>
    </row>
    <row r="193" spans="1:1" x14ac:dyDescent="0.25">
      <c r="A193" s="2" t="s">
        <v>442</v>
      </c>
    </row>
    <row r="194" spans="1:1" x14ac:dyDescent="0.25">
      <c r="A194" s="2" t="s">
        <v>444</v>
      </c>
    </row>
    <row r="195" spans="1:1" x14ac:dyDescent="0.25">
      <c r="A195" s="2" t="s">
        <v>446</v>
      </c>
    </row>
    <row r="196" spans="1:1" x14ac:dyDescent="0.25">
      <c r="A196" s="2" t="s">
        <v>1425</v>
      </c>
    </row>
    <row r="197" spans="1:1" x14ac:dyDescent="0.25">
      <c r="A197" s="2" t="s">
        <v>448</v>
      </c>
    </row>
    <row r="198" spans="1:1" x14ac:dyDescent="0.25">
      <c r="A198" s="2" t="s">
        <v>450</v>
      </c>
    </row>
    <row r="199" spans="1:1" x14ac:dyDescent="0.25">
      <c r="A199" s="2" t="s">
        <v>452</v>
      </c>
    </row>
    <row r="200" spans="1:1" x14ac:dyDescent="0.25">
      <c r="A200" s="2" t="s">
        <v>454</v>
      </c>
    </row>
    <row r="201" spans="1:1" x14ac:dyDescent="0.25">
      <c r="A201" s="2" t="s">
        <v>456</v>
      </c>
    </row>
    <row r="202" spans="1:1" x14ac:dyDescent="0.25">
      <c r="A202" s="2" t="s">
        <v>458</v>
      </c>
    </row>
    <row r="203" spans="1:1" x14ac:dyDescent="0.25">
      <c r="A203" s="2" t="s">
        <v>461</v>
      </c>
    </row>
    <row r="204" spans="1:1" x14ac:dyDescent="0.25">
      <c r="A204" s="2" t="s">
        <v>463</v>
      </c>
    </row>
    <row r="205" spans="1:1" x14ac:dyDescent="0.25">
      <c r="A205" s="2" t="s">
        <v>466</v>
      </c>
    </row>
    <row r="206" spans="1:1" x14ac:dyDescent="0.25">
      <c r="A206" s="2" t="s">
        <v>469</v>
      </c>
    </row>
    <row r="207" spans="1:1" x14ac:dyDescent="0.25">
      <c r="A207" s="2" t="s">
        <v>471</v>
      </c>
    </row>
    <row r="208" spans="1:1" x14ac:dyDescent="0.25">
      <c r="A208" s="2" t="s">
        <v>473</v>
      </c>
    </row>
    <row r="209" spans="1:1" x14ac:dyDescent="0.25">
      <c r="A209" s="2" t="s">
        <v>475</v>
      </c>
    </row>
    <row r="210" spans="1:1" x14ac:dyDescent="0.25">
      <c r="A210" s="2" t="s">
        <v>477</v>
      </c>
    </row>
    <row r="211" spans="1:1" x14ac:dyDescent="0.25">
      <c r="A211" s="2" t="s">
        <v>479</v>
      </c>
    </row>
    <row r="212" spans="1:1" x14ac:dyDescent="0.25">
      <c r="A212" s="6" t="s">
        <v>481</v>
      </c>
    </row>
    <row r="213" spans="1:1" x14ac:dyDescent="0.25">
      <c r="A213" s="2" t="s">
        <v>483</v>
      </c>
    </row>
    <row r="214" spans="1:1" x14ac:dyDescent="0.25">
      <c r="A214" s="2" t="s">
        <v>485</v>
      </c>
    </row>
    <row r="215" spans="1:1" x14ac:dyDescent="0.25">
      <c r="A215" s="2" t="s">
        <v>487</v>
      </c>
    </row>
    <row r="216" spans="1:1" x14ac:dyDescent="0.25">
      <c r="A216" s="2" t="s">
        <v>489</v>
      </c>
    </row>
    <row r="217" spans="1:1" x14ac:dyDescent="0.25">
      <c r="A217" s="2" t="s">
        <v>491</v>
      </c>
    </row>
    <row r="218" spans="1:1" x14ac:dyDescent="0.25">
      <c r="A218" s="2" t="s">
        <v>493</v>
      </c>
    </row>
    <row r="219" spans="1:1" x14ac:dyDescent="0.25">
      <c r="A219" s="2" t="s">
        <v>496</v>
      </c>
    </row>
    <row r="220" spans="1:1" x14ac:dyDescent="0.25">
      <c r="A220" s="2" t="s">
        <v>498</v>
      </c>
    </row>
    <row r="221" spans="1:1" x14ac:dyDescent="0.25">
      <c r="A221" s="2" t="s">
        <v>500</v>
      </c>
    </row>
    <row r="222" spans="1:1" x14ac:dyDescent="0.25">
      <c r="A222" s="2" t="s">
        <v>502</v>
      </c>
    </row>
    <row r="223" spans="1:1" x14ac:dyDescent="0.25">
      <c r="A223" s="2" t="s">
        <v>504</v>
      </c>
    </row>
    <row r="224" spans="1:1" x14ac:dyDescent="0.25">
      <c r="A224" s="2" t="s">
        <v>506</v>
      </c>
    </row>
    <row r="225" spans="1:1" x14ac:dyDescent="0.25">
      <c r="A225" s="6" t="s">
        <v>508</v>
      </c>
    </row>
    <row r="226" spans="1:1" x14ac:dyDescent="0.25">
      <c r="A226" s="2" t="s">
        <v>511</v>
      </c>
    </row>
    <row r="227" spans="1:1" x14ac:dyDescent="0.25">
      <c r="A227" s="2" t="s">
        <v>513</v>
      </c>
    </row>
    <row r="228" spans="1:1" x14ac:dyDescent="0.25">
      <c r="A228" s="2" t="s">
        <v>516</v>
      </c>
    </row>
    <row r="229" spans="1:1" x14ac:dyDescent="0.25">
      <c r="A229" s="2" t="s">
        <v>518</v>
      </c>
    </row>
    <row r="230" spans="1:1" x14ac:dyDescent="0.25">
      <c r="A230" s="2" t="s">
        <v>521</v>
      </c>
    </row>
    <row r="231" spans="1:1" x14ac:dyDescent="0.25">
      <c r="A231" s="2" t="s">
        <v>523</v>
      </c>
    </row>
    <row r="232" spans="1:1" x14ac:dyDescent="0.25">
      <c r="A232" s="2" t="s">
        <v>525</v>
      </c>
    </row>
    <row r="233" spans="1:1" x14ac:dyDescent="0.25">
      <c r="A233" s="2" t="s">
        <v>527</v>
      </c>
    </row>
    <row r="234" spans="1:1" x14ac:dyDescent="0.25">
      <c r="A234" s="2" t="s">
        <v>529</v>
      </c>
    </row>
    <row r="235" spans="1:1" x14ac:dyDescent="0.25">
      <c r="A235" s="2" t="s">
        <v>531</v>
      </c>
    </row>
    <row r="236" spans="1:1" x14ac:dyDescent="0.25">
      <c r="A236" s="2" t="s">
        <v>533</v>
      </c>
    </row>
    <row r="237" spans="1:1" x14ac:dyDescent="0.25">
      <c r="A237" s="2" t="s">
        <v>535</v>
      </c>
    </row>
    <row r="238" spans="1:1" x14ac:dyDescent="0.25">
      <c r="A238" s="2" t="s">
        <v>538</v>
      </c>
    </row>
    <row r="239" spans="1:1" x14ac:dyDescent="0.25">
      <c r="A239" s="2" t="s">
        <v>540</v>
      </c>
    </row>
    <row r="240" spans="1:1" x14ac:dyDescent="0.25">
      <c r="A240" s="2" t="s">
        <v>542</v>
      </c>
    </row>
    <row r="241" spans="1:1" x14ac:dyDescent="0.25">
      <c r="A241" s="2" t="s">
        <v>544</v>
      </c>
    </row>
    <row r="242" spans="1:1" x14ac:dyDescent="0.25">
      <c r="A242" s="2" t="s">
        <v>546</v>
      </c>
    </row>
    <row r="243" spans="1:1" x14ac:dyDescent="0.25">
      <c r="A243" s="2" t="s">
        <v>548</v>
      </c>
    </row>
    <row r="244" spans="1:1" x14ac:dyDescent="0.25">
      <c r="A244" s="2" t="s">
        <v>550</v>
      </c>
    </row>
    <row r="245" spans="1:1" x14ac:dyDescent="0.25">
      <c r="A245" s="2" t="s">
        <v>552</v>
      </c>
    </row>
    <row r="246" spans="1:1" x14ac:dyDescent="0.25">
      <c r="A246" s="2" t="s">
        <v>554</v>
      </c>
    </row>
    <row r="247" spans="1:1" x14ac:dyDescent="0.25">
      <c r="A247" s="2" t="s">
        <v>556</v>
      </c>
    </row>
    <row r="248" spans="1:1" x14ac:dyDescent="0.25">
      <c r="A248" s="2" t="s">
        <v>558</v>
      </c>
    </row>
    <row r="249" spans="1:1" x14ac:dyDescent="0.25">
      <c r="A249" s="2" t="s">
        <v>561</v>
      </c>
    </row>
    <row r="250" spans="1:1" x14ac:dyDescent="0.25">
      <c r="A250" s="2" t="s">
        <v>563</v>
      </c>
    </row>
    <row r="251" spans="1:1" x14ac:dyDescent="0.25">
      <c r="A251" s="2" t="s">
        <v>565</v>
      </c>
    </row>
    <row r="252" spans="1:1" x14ac:dyDescent="0.25">
      <c r="A252" s="2" t="s">
        <v>567</v>
      </c>
    </row>
    <row r="253" spans="1:1" x14ac:dyDescent="0.25">
      <c r="A253" s="2" t="s">
        <v>569</v>
      </c>
    </row>
    <row r="254" spans="1:1" x14ac:dyDescent="0.25">
      <c r="A254" s="2" t="s">
        <v>571</v>
      </c>
    </row>
    <row r="255" spans="1:1" x14ac:dyDescent="0.25">
      <c r="A255" s="6" t="s">
        <v>573</v>
      </c>
    </row>
    <row r="256" spans="1:1" x14ac:dyDescent="0.25">
      <c r="A256" s="2" t="s">
        <v>575</v>
      </c>
    </row>
    <row r="257" spans="1:1" x14ac:dyDescent="0.25">
      <c r="A257" s="2" t="s">
        <v>577</v>
      </c>
    </row>
    <row r="258" spans="1:1" x14ac:dyDescent="0.25">
      <c r="A258" s="2" t="s">
        <v>579</v>
      </c>
    </row>
    <row r="259" spans="1:1" x14ac:dyDescent="0.25">
      <c r="A259" s="2" t="s">
        <v>581</v>
      </c>
    </row>
    <row r="260" spans="1:1" x14ac:dyDescent="0.25">
      <c r="A260" s="2" t="s">
        <v>583</v>
      </c>
    </row>
    <row r="261" spans="1:1" x14ac:dyDescent="0.25">
      <c r="A261" s="2" t="s">
        <v>586</v>
      </c>
    </row>
    <row r="262" spans="1:1" x14ac:dyDescent="0.25">
      <c r="A262" s="6" t="s">
        <v>589</v>
      </c>
    </row>
    <row r="263" spans="1:1" x14ac:dyDescent="0.25">
      <c r="A263" s="2" t="s">
        <v>592</v>
      </c>
    </row>
    <row r="264" spans="1:1" x14ac:dyDescent="0.25">
      <c r="A264" s="2" t="s">
        <v>594</v>
      </c>
    </row>
    <row r="265" spans="1:1" x14ac:dyDescent="0.25">
      <c r="A265" s="2" t="s">
        <v>596</v>
      </c>
    </row>
    <row r="266" spans="1:1" x14ac:dyDescent="0.25">
      <c r="A266" s="2" t="s">
        <v>599</v>
      </c>
    </row>
    <row r="267" spans="1:1" x14ac:dyDescent="0.25">
      <c r="A267" s="2" t="s">
        <v>601</v>
      </c>
    </row>
    <row r="268" spans="1:1" x14ac:dyDescent="0.25">
      <c r="A268" s="2" t="s">
        <v>603</v>
      </c>
    </row>
    <row r="269" spans="1:1" x14ac:dyDescent="0.25">
      <c r="A269" s="2" t="s">
        <v>606</v>
      </c>
    </row>
    <row r="270" spans="1:1" x14ac:dyDescent="0.25">
      <c r="A270" s="6" t="s">
        <v>608</v>
      </c>
    </row>
    <row r="271" spans="1:1" x14ac:dyDescent="0.25">
      <c r="A271" s="6" t="s">
        <v>617</v>
      </c>
    </row>
    <row r="272" spans="1:1" x14ac:dyDescent="0.25">
      <c r="A272" s="2" t="s">
        <v>619</v>
      </c>
    </row>
    <row r="273" spans="1:1" x14ac:dyDescent="0.25">
      <c r="A273" s="2" t="s">
        <v>621</v>
      </c>
    </row>
    <row r="274" spans="1:1" x14ac:dyDescent="0.25">
      <c r="A274" s="2" t="s">
        <v>623</v>
      </c>
    </row>
    <row r="275" spans="1:1" x14ac:dyDescent="0.25">
      <c r="A275" s="2" t="s">
        <v>625</v>
      </c>
    </row>
    <row r="276" spans="1:1" x14ac:dyDescent="0.25">
      <c r="A276" s="2" t="s">
        <v>627</v>
      </c>
    </row>
    <row r="277" spans="1:1" x14ac:dyDescent="0.25">
      <c r="A277" s="2" t="s">
        <v>629</v>
      </c>
    </row>
    <row r="278" spans="1:1" x14ac:dyDescent="0.25">
      <c r="A278" s="2" t="s">
        <v>631</v>
      </c>
    </row>
    <row r="279" spans="1:1" x14ac:dyDescent="0.25">
      <c r="A279" s="6" t="s">
        <v>633</v>
      </c>
    </row>
    <row r="280" spans="1:1" x14ac:dyDescent="0.25">
      <c r="A280" s="2" t="s">
        <v>635</v>
      </c>
    </row>
    <row r="281" spans="1:1" x14ac:dyDescent="0.25">
      <c r="A281" s="6" t="s">
        <v>637</v>
      </c>
    </row>
    <row r="282" spans="1:1" x14ac:dyDescent="0.25">
      <c r="A282" s="2" t="s">
        <v>640</v>
      </c>
    </row>
    <row r="283" spans="1:1" x14ac:dyDescent="0.25">
      <c r="A283" s="2" t="s">
        <v>643</v>
      </c>
    </row>
    <row r="284" spans="1:1" x14ac:dyDescent="0.25">
      <c r="A284" s="2" t="s">
        <v>645</v>
      </c>
    </row>
    <row r="285" spans="1:1" x14ac:dyDescent="0.25">
      <c r="A285" s="6" t="s">
        <v>648</v>
      </c>
    </row>
    <row r="286" spans="1:1" x14ac:dyDescent="0.25">
      <c r="A286" s="2" t="s">
        <v>650</v>
      </c>
    </row>
    <row r="287" spans="1:1" x14ac:dyDescent="0.25">
      <c r="A287" s="2" t="s">
        <v>652</v>
      </c>
    </row>
    <row r="288" spans="1:1" x14ac:dyDescent="0.25">
      <c r="A288" s="2" t="s">
        <v>655</v>
      </c>
    </row>
    <row r="289" spans="1:1" x14ac:dyDescent="0.25">
      <c r="A289" s="6" t="s">
        <v>657</v>
      </c>
    </row>
    <row r="290" spans="1:1" x14ac:dyDescent="0.25">
      <c r="A290" s="2" t="s">
        <v>659</v>
      </c>
    </row>
    <row r="291" spans="1:1" x14ac:dyDescent="0.25">
      <c r="A291" s="6" t="s">
        <v>661</v>
      </c>
    </row>
    <row r="292" spans="1:1" x14ac:dyDescent="0.25">
      <c r="A292" s="2" t="s">
        <v>663</v>
      </c>
    </row>
    <row r="293" spans="1:1" x14ac:dyDescent="0.25">
      <c r="A293" s="2" t="s">
        <v>665</v>
      </c>
    </row>
    <row r="294" spans="1:1" x14ac:dyDescent="0.25">
      <c r="A294" s="2" t="s">
        <v>667</v>
      </c>
    </row>
    <row r="295" spans="1:1" x14ac:dyDescent="0.25">
      <c r="A295" s="2" t="s">
        <v>669</v>
      </c>
    </row>
    <row r="296" spans="1:1" x14ac:dyDescent="0.25">
      <c r="A296" s="6" t="s">
        <v>671</v>
      </c>
    </row>
    <row r="297" spans="1:1" x14ac:dyDescent="0.25">
      <c r="A297" s="2" t="s">
        <v>673</v>
      </c>
    </row>
    <row r="298" spans="1:1" x14ac:dyDescent="0.25">
      <c r="A298" s="2" t="s">
        <v>675</v>
      </c>
    </row>
    <row r="299" spans="1:1" x14ac:dyDescent="0.25">
      <c r="A299" s="2" t="s">
        <v>677</v>
      </c>
    </row>
    <row r="300" spans="1:1" x14ac:dyDescent="0.25">
      <c r="A300" s="2" t="s">
        <v>679</v>
      </c>
    </row>
    <row r="301" spans="1:1" x14ac:dyDescent="0.25">
      <c r="A301" s="2" t="s">
        <v>1293</v>
      </c>
    </row>
    <row r="302" spans="1:1" x14ac:dyDescent="0.25">
      <c r="A302" s="2" t="s">
        <v>1299</v>
      </c>
    </row>
    <row r="303" spans="1:1" x14ac:dyDescent="0.25">
      <c r="A303" s="2" t="s">
        <v>1300</v>
      </c>
    </row>
    <row r="304" spans="1:1" x14ac:dyDescent="0.25">
      <c r="A304" s="2" t="s">
        <v>1304</v>
      </c>
    </row>
    <row r="305" spans="1:1" x14ac:dyDescent="0.25">
      <c r="A305" s="2" t="s">
        <v>1392</v>
      </c>
    </row>
    <row r="306" spans="1:1" x14ac:dyDescent="0.25">
      <c r="A306" s="2" t="s">
        <v>1305</v>
      </c>
    </row>
    <row r="307" spans="1:1" x14ac:dyDescent="0.25">
      <c r="A307" s="2" t="s">
        <v>1306</v>
      </c>
    </row>
    <row r="308" spans="1:1" x14ac:dyDescent="0.25">
      <c r="A308" s="2" t="s">
        <v>1307</v>
      </c>
    </row>
    <row r="309" spans="1:1" x14ac:dyDescent="0.25">
      <c r="A309" s="2" t="s">
        <v>1310</v>
      </c>
    </row>
    <row r="310" spans="1:1" x14ac:dyDescent="0.25">
      <c r="A310" s="2" t="s">
        <v>1311</v>
      </c>
    </row>
    <row r="311" spans="1:1" x14ac:dyDescent="0.25">
      <c r="A311" s="2" t="s">
        <v>1312</v>
      </c>
    </row>
    <row r="312" spans="1:1" x14ac:dyDescent="0.25">
      <c r="A312" s="2" t="s">
        <v>1316</v>
      </c>
    </row>
    <row r="313" spans="1:1" x14ac:dyDescent="0.25">
      <c r="A313" s="2" t="s">
        <v>1318</v>
      </c>
    </row>
    <row r="314" spans="1:1" x14ac:dyDescent="0.25">
      <c r="A314" s="2" t="s">
        <v>1320</v>
      </c>
    </row>
    <row r="315" spans="1:1" x14ac:dyDescent="0.25">
      <c r="A315" s="2" t="s">
        <v>1322</v>
      </c>
    </row>
    <row r="316" spans="1:1" x14ac:dyDescent="0.25">
      <c r="A316" s="2" t="s">
        <v>1324</v>
      </c>
    </row>
    <row r="317" spans="1:1" x14ac:dyDescent="0.25">
      <c r="A317" s="2" t="s">
        <v>1325</v>
      </c>
    </row>
    <row r="318" spans="1:1" x14ac:dyDescent="0.25">
      <c r="A318" s="2" t="s">
        <v>1326</v>
      </c>
    </row>
    <row r="319" spans="1:1" x14ac:dyDescent="0.25">
      <c r="A319" s="2" t="s">
        <v>1327</v>
      </c>
    </row>
    <row r="320" spans="1:1" x14ac:dyDescent="0.25">
      <c r="A320" s="2" t="s">
        <v>1328</v>
      </c>
    </row>
    <row r="321" spans="1:1" x14ac:dyDescent="0.25">
      <c r="A321" s="2" t="s">
        <v>1329</v>
      </c>
    </row>
    <row r="322" spans="1:1" x14ac:dyDescent="0.25">
      <c r="A322" s="6" t="s">
        <v>1330</v>
      </c>
    </row>
    <row r="323" spans="1:1" x14ac:dyDescent="0.25">
      <c r="A323" s="6" t="s">
        <v>1331</v>
      </c>
    </row>
    <row r="324" spans="1:1" x14ac:dyDescent="0.25">
      <c r="A324" s="2" t="s">
        <v>1332</v>
      </c>
    </row>
    <row r="325" spans="1:1" x14ac:dyDescent="0.25">
      <c r="A325" s="2" t="s">
        <v>1335</v>
      </c>
    </row>
    <row r="326" spans="1:1" x14ac:dyDescent="0.25">
      <c r="A326" s="2" t="s">
        <v>1336</v>
      </c>
    </row>
    <row r="327" spans="1:1" x14ac:dyDescent="0.25">
      <c r="A327" s="6" t="s">
        <v>1338</v>
      </c>
    </row>
    <row r="328" spans="1:1" x14ac:dyDescent="0.25">
      <c r="A328" s="2" t="s">
        <v>1344</v>
      </c>
    </row>
    <row r="329" spans="1:1" x14ac:dyDescent="0.25">
      <c r="A329" s="2" t="s">
        <v>1345</v>
      </c>
    </row>
    <row r="330" spans="1:1" x14ac:dyDescent="0.25">
      <c r="A330" s="2" t="s">
        <v>1346</v>
      </c>
    </row>
    <row r="331" spans="1:1" x14ac:dyDescent="0.25">
      <c r="A331" s="2" t="s">
        <v>1347</v>
      </c>
    </row>
    <row r="332" spans="1:1" x14ac:dyDescent="0.25">
      <c r="A332" s="2" t="s">
        <v>1354</v>
      </c>
    </row>
    <row r="333" spans="1:1" x14ac:dyDescent="0.25">
      <c r="A333" s="2" t="s">
        <v>1356</v>
      </c>
    </row>
    <row r="334" spans="1:1" x14ac:dyDescent="0.25">
      <c r="A334" s="6" t="s">
        <v>1358</v>
      </c>
    </row>
    <row r="335" spans="1:1" x14ac:dyDescent="0.25">
      <c r="A335" s="2" t="s">
        <v>1359</v>
      </c>
    </row>
    <row r="336" spans="1:1" x14ac:dyDescent="0.25">
      <c r="A336" s="2" t="s">
        <v>1361</v>
      </c>
    </row>
    <row r="337" spans="1:1" x14ac:dyDescent="0.25">
      <c r="A337" s="2" t="s">
        <v>1373</v>
      </c>
    </row>
    <row r="338" spans="1:1" x14ac:dyDescent="0.25">
      <c r="A338" s="2" t="s">
        <v>1374</v>
      </c>
    </row>
    <row r="339" spans="1:1" x14ac:dyDescent="0.25">
      <c r="A339" s="2" t="s">
        <v>1375</v>
      </c>
    </row>
    <row r="340" spans="1:1" x14ac:dyDescent="0.25">
      <c r="A340" s="2" t="s">
        <v>1378</v>
      </c>
    </row>
    <row r="341" spans="1:1" x14ac:dyDescent="0.25">
      <c r="A341" s="2" t="s">
        <v>1383</v>
      </c>
    </row>
    <row r="342" spans="1:1" x14ac:dyDescent="0.25">
      <c r="A342" s="2" t="s">
        <v>681</v>
      </c>
    </row>
    <row r="343" spans="1:1" x14ac:dyDescent="0.25">
      <c r="A343" s="2" t="s">
        <v>685</v>
      </c>
    </row>
    <row r="344" spans="1:1" x14ac:dyDescent="0.25">
      <c r="A344" s="2" t="s">
        <v>1296</v>
      </c>
    </row>
    <row r="345" spans="1:1" x14ac:dyDescent="0.25">
      <c r="A345" s="7" t="s">
        <v>1297</v>
      </c>
    </row>
    <row r="346" spans="1:1" x14ac:dyDescent="0.25">
      <c r="A346" s="2" t="s">
        <v>1298</v>
      </c>
    </row>
    <row r="347" spans="1:1" x14ac:dyDescent="0.25">
      <c r="A347" s="2" t="s">
        <v>1301</v>
      </c>
    </row>
    <row r="348" spans="1:1" x14ac:dyDescent="0.25">
      <c r="A348" s="2" t="s">
        <v>1303</v>
      </c>
    </row>
    <row r="349" spans="1:1" x14ac:dyDescent="0.25">
      <c r="A349" s="2" t="s">
        <v>1308</v>
      </c>
    </row>
    <row r="350" spans="1:1" x14ac:dyDescent="0.25">
      <c r="A350" s="2" t="s">
        <v>1309</v>
      </c>
    </row>
    <row r="351" spans="1:1" x14ac:dyDescent="0.25">
      <c r="A351" s="2" t="s">
        <v>1315</v>
      </c>
    </row>
    <row r="352" spans="1:1" x14ac:dyDescent="0.25">
      <c r="A352" s="2" t="s">
        <v>1317</v>
      </c>
    </row>
    <row r="353" spans="1:1" x14ac:dyDescent="0.25">
      <c r="A353" s="2" t="s">
        <v>1319</v>
      </c>
    </row>
    <row r="354" spans="1:1" x14ac:dyDescent="0.25">
      <c r="A354" s="2" t="s">
        <v>1321</v>
      </c>
    </row>
    <row r="355" spans="1:1" x14ac:dyDescent="0.25">
      <c r="A355" s="2" t="s">
        <v>1337</v>
      </c>
    </row>
    <row r="356" spans="1:1" x14ac:dyDescent="0.25">
      <c r="A356" s="2" t="s">
        <v>1339</v>
      </c>
    </row>
    <row r="357" spans="1:1" x14ac:dyDescent="0.25">
      <c r="A357" s="2" t="s">
        <v>1340</v>
      </c>
    </row>
    <row r="358" spans="1:1" x14ac:dyDescent="0.25">
      <c r="A358" s="2" t="s">
        <v>1341</v>
      </c>
    </row>
    <row r="359" spans="1:1" x14ac:dyDescent="0.25">
      <c r="A359" s="2" t="s">
        <v>1342</v>
      </c>
    </row>
    <row r="360" spans="1:1" x14ac:dyDescent="0.25">
      <c r="A360" s="2" t="s">
        <v>1343</v>
      </c>
    </row>
    <row r="361" spans="1:1" x14ac:dyDescent="0.25">
      <c r="A361" s="2" t="s">
        <v>1348</v>
      </c>
    </row>
    <row r="362" spans="1:1" x14ac:dyDescent="0.25">
      <c r="A362" s="2" t="s">
        <v>1350</v>
      </c>
    </row>
    <row r="363" spans="1:1" x14ac:dyDescent="0.25">
      <c r="A363" s="2" t="s">
        <v>1351</v>
      </c>
    </row>
    <row r="364" spans="1:1" x14ac:dyDescent="0.25">
      <c r="A364" s="2" t="s">
        <v>1352</v>
      </c>
    </row>
    <row r="365" spans="1:1" x14ac:dyDescent="0.25">
      <c r="A365" s="2" t="s">
        <v>1353</v>
      </c>
    </row>
    <row r="366" spans="1:1" x14ac:dyDescent="0.25">
      <c r="A366" s="2" t="s">
        <v>1357</v>
      </c>
    </row>
    <row r="367" spans="1:1" x14ac:dyDescent="0.25">
      <c r="A367" s="2" t="s">
        <v>1360</v>
      </c>
    </row>
    <row r="368" spans="1:1" x14ac:dyDescent="0.25">
      <c r="A368" s="2" t="s">
        <v>1362</v>
      </c>
    </row>
    <row r="369" spans="1:1" x14ac:dyDescent="0.25">
      <c r="A369" s="2" t="s">
        <v>1363</v>
      </c>
    </row>
    <row r="370" spans="1:1" x14ac:dyDescent="0.25">
      <c r="A370" s="2" t="s">
        <v>1365</v>
      </c>
    </row>
    <row r="371" spans="1:1" x14ac:dyDescent="0.25">
      <c r="A371" s="2" t="s">
        <v>1366</v>
      </c>
    </row>
    <row r="372" spans="1:1" x14ac:dyDescent="0.25">
      <c r="A372" s="6" t="s">
        <v>1367</v>
      </c>
    </row>
    <row r="373" spans="1:1" x14ac:dyDescent="0.25">
      <c r="A373" s="2" t="s">
        <v>1368</v>
      </c>
    </row>
    <row r="374" spans="1:1" x14ac:dyDescent="0.25">
      <c r="A374" s="6" t="s">
        <v>1369</v>
      </c>
    </row>
    <row r="375" spans="1:1" x14ac:dyDescent="0.25">
      <c r="A375" s="2" t="s">
        <v>1370</v>
      </c>
    </row>
    <row r="376" spans="1:1" x14ac:dyDescent="0.25">
      <c r="A376" s="2" t="s">
        <v>1371</v>
      </c>
    </row>
    <row r="377" spans="1:1" x14ac:dyDescent="0.25">
      <c r="A377" s="2" t="s">
        <v>1372</v>
      </c>
    </row>
    <row r="378" spans="1:1" x14ac:dyDescent="0.25">
      <c r="A378" s="2" t="s">
        <v>1376</v>
      </c>
    </row>
    <row r="379" spans="1:1" x14ac:dyDescent="0.25">
      <c r="A379" s="2" t="s">
        <v>1377</v>
      </c>
    </row>
    <row r="380" spans="1:1" x14ac:dyDescent="0.25">
      <c r="A380" s="6" t="s">
        <v>1379</v>
      </c>
    </row>
    <row r="381" spans="1:1" x14ac:dyDescent="0.25">
      <c r="A381" s="2" t="s">
        <v>1380</v>
      </c>
    </row>
    <row r="382" spans="1:1" x14ac:dyDescent="0.25">
      <c r="A382" s="2" t="s">
        <v>1382</v>
      </c>
    </row>
    <row r="383" spans="1:1" x14ac:dyDescent="0.25">
      <c r="A383" s="2" t="s">
        <v>687</v>
      </c>
    </row>
    <row r="384" spans="1:1" x14ac:dyDescent="0.25">
      <c r="A384" s="2" t="s">
        <v>1290</v>
      </c>
    </row>
    <row r="385" spans="1:1" x14ac:dyDescent="0.25">
      <c r="A385" s="2" t="s">
        <v>1291</v>
      </c>
    </row>
    <row r="386" spans="1:1" x14ac:dyDescent="0.25">
      <c r="A386" s="2" t="s">
        <v>1292</v>
      </c>
    </row>
    <row r="387" spans="1:1" x14ac:dyDescent="0.25">
      <c r="A387" s="2" t="s">
        <v>1294</v>
      </c>
    </row>
    <row r="388" spans="1:1" x14ac:dyDescent="0.25">
      <c r="A388" s="2" t="s">
        <v>1295</v>
      </c>
    </row>
    <row r="389" spans="1:1" x14ac:dyDescent="0.25">
      <c r="A389" s="2" t="s">
        <v>1302</v>
      </c>
    </row>
    <row r="390" spans="1:1" x14ac:dyDescent="0.25">
      <c r="A390" s="2" t="s">
        <v>1313</v>
      </c>
    </row>
    <row r="391" spans="1:1" x14ac:dyDescent="0.25">
      <c r="A391" s="2" t="s">
        <v>1314</v>
      </c>
    </row>
    <row r="392" spans="1:1" x14ac:dyDescent="0.25">
      <c r="A392" s="2" t="s">
        <v>1333</v>
      </c>
    </row>
    <row r="393" spans="1:1" x14ac:dyDescent="0.25">
      <c r="A393" s="2" t="s">
        <v>1349</v>
      </c>
    </row>
    <row r="394" spans="1:1" x14ac:dyDescent="0.25">
      <c r="A394" s="6" t="s">
        <v>1355</v>
      </c>
    </row>
    <row r="395" spans="1:1" x14ac:dyDescent="0.25">
      <c r="A395" s="2" t="s">
        <v>1364</v>
      </c>
    </row>
    <row r="396" spans="1:1" x14ac:dyDescent="0.25">
      <c r="A396" s="2" t="s">
        <v>1381</v>
      </c>
    </row>
    <row r="397" spans="1:1" x14ac:dyDescent="0.25">
      <c r="A397" s="2" t="s">
        <v>689</v>
      </c>
    </row>
    <row r="398" spans="1:1" x14ac:dyDescent="0.25">
      <c r="A398" s="2" t="s">
        <v>1323</v>
      </c>
    </row>
    <row r="399" spans="1:1" x14ac:dyDescent="0.25">
      <c r="A399" s="2" t="s">
        <v>1334</v>
      </c>
    </row>
    <row r="400" spans="1:1" x14ac:dyDescent="0.25">
      <c r="A400" s="2" t="s">
        <v>691</v>
      </c>
    </row>
    <row r="401" spans="1:1" x14ac:dyDescent="0.25">
      <c r="A401" s="6" t="s">
        <v>693</v>
      </c>
    </row>
    <row r="402" spans="1:1" x14ac:dyDescent="0.25">
      <c r="A402" s="2" t="s">
        <v>695</v>
      </c>
    </row>
    <row r="403" spans="1:1" x14ac:dyDescent="0.25">
      <c r="A403" s="2" t="s">
        <v>697</v>
      </c>
    </row>
    <row r="404" spans="1:1" x14ac:dyDescent="0.25">
      <c r="A404" s="2" t="s">
        <v>699</v>
      </c>
    </row>
    <row r="405" spans="1:1" x14ac:dyDescent="0.25">
      <c r="A405" s="2" t="s">
        <v>701</v>
      </c>
    </row>
    <row r="406" spans="1:1" x14ac:dyDescent="0.25">
      <c r="A406" s="2" t="s">
        <v>703</v>
      </c>
    </row>
    <row r="407" spans="1:1" x14ac:dyDescent="0.25">
      <c r="A407" s="2" t="s">
        <v>705</v>
      </c>
    </row>
    <row r="408" spans="1:1" x14ac:dyDescent="0.25">
      <c r="A408" s="2" t="s">
        <v>707</v>
      </c>
    </row>
    <row r="409" spans="1:1" x14ac:dyDescent="0.25">
      <c r="A409" s="2" t="s">
        <v>709</v>
      </c>
    </row>
    <row r="410" spans="1:1" x14ac:dyDescent="0.25">
      <c r="A410" s="2" t="s">
        <v>711</v>
      </c>
    </row>
    <row r="411" spans="1:1" x14ac:dyDescent="0.25">
      <c r="A411" s="2" t="s">
        <v>714</v>
      </c>
    </row>
    <row r="412" spans="1:1" x14ac:dyDescent="0.25">
      <c r="A412" s="2" t="s">
        <v>716</v>
      </c>
    </row>
    <row r="413" spans="1:1" x14ac:dyDescent="0.25">
      <c r="A413" s="2" t="s">
        <v>718</v>
      </c>
    </row>
    <row r="414" spans="1:1" x14ac:dyDescent="0.25">
      <c r="A414" s="2" t="s">
        <v>720</v>
      </c>
    </row>
    <row r="415" spans="1:1" x14ac:dyDescent="0.25">
      <c r="A415" s="2" t="s">
        <v>722</v>
      </c>
    </row>
    <row r="416" spans="1:1" x14ac:dyDescent="0.25">
      <c r="A416" s="2" t="s">
        <v>724</v>
      </c>
    </row>
    <row r="417" spans="1:1" x14ac:dyDescent="0.25">
      <c r="A417" s="6" t="s">
        <v>726</v>
      </c>
    </row>
    <row r="418" spans="1:1" x14ac:dyDescent="0.25">
      <c r="A418" s="2" t="s">
        <v>729</v>
      </c>
    </row>
    <row r="419" spans="1:1" x14ac:dyDescent="0.25">
      <c r="A419" s="2" t="s">
        <v>731</v>
      </c>
    </row>
    <row r="420" spans="1:1" x14ac:dyDescent="0.25">
      <c r="A420" s="6" t="s">
        <v>733</v>
      </c>
    </row>
    <row r="421" spans="1:1" x14ac:dyDescent="0.25">
      <c r="A421" s="2" t="s">
        <v>735</v>
      </c>
    </row>
    <row r="422" spans="1:1" x14ac:dyDescent="0.25">
      <c r="A422" s="2" t="s">
        <v>737</v>
      </c>
    </row>
    <row r="423" spans="1:1" x14ac:dyDescent="0.25">
      <c r="A423" s="2" t="s">
        <v>739</v>
      </c>
    </row>
    <row r="424" spans="1:1" x14ac:dyDescent="0.25">
      <c r="A424" s="2" t="s">
        <v>741</v>
      </c>
    </row>
    <row r="425" spans="1:1" x14ac:dyDescent="0.25">
      <c r="A425" s="2" t="s">
        <v>743</v>
      </c>
    </row>
    <row r="426" spans="1:1" x14ac:dyDescent="0.25">
      <c r="A426" s="2" t="s">
        <v>745</v>
      </c>
    </row>
    <row r="427" spans="1:1" x14ac:dyDescent="0.25">
      <c r="A427" s="2" t="s">
        <v>747</v>
      </c>
    </row>
    <row r="428" spans="1:1" x14ac:dyDescent="0.25">
      <c r="A428" s="2" t="s">
        <v>749</v>
      </c>
    </row>
    <row r="429" spans="1:1" x14ac:dyDescent="0.25">
      <c r="A429" s="2" t="s">
        <v>751</v>
      </c>
    </row>
    <row r="430" spans="1:1" x14ac:dyDescent="0.25">
      <c r="A430" s="2" t="s">
        <v>753</v>
      </c>
    </row>
    <row r="431" spans="1:1" x14ac:dyDescent="0.25">
      <c r="A431" s="2" t="s">
        <v>755</v>
      </c>
    </row>
    <row r="432" spans="1:1" x14ac:dyDescent="0.25">
      <c r="A432" s="2" t="s">
        <v>760</v>
      </c>
    </row>
    <row r="433" spans="1:1" x14ac:dyDescent="0.25">
      <c r="A433" s="2" t="s">
        <v>762</v>
      </c>
    </row>
    <row r="434" spans="1:1" x14ac:dyDescent="0.25">
      <c r="A434" s="6" t="s">
        <v>764</v>
      </c>
    </row>
    <row r="435" spans="1:1" x14ac:dyDescent="0.25">
      <c r="A435" s="2" t="s">
        <v>766</v>
      </c>
    </row>
    <row r="436" spans="1:1" x14ac:dyDescent="0.25">
      <c r="A436" s="2" t="s">
        <v>768</v>
      </c>
    </row>
    <row r="437" spans="1:1" x14ac:dyDescent="0.25">
      <c r="A437" s="2" t="s">
        <v>770</v>
      </c>
    </row>
    <row r="438" spans="1:1" x14ac:dyDescent="0.25">
      <c r="A438" s="2" t="s">
        <v>772</v>
      </c>
    </row>
    <row r="439" spans="1:1" x14ac:dyDescent="0.25">
      <c r="A439" s="2" t="s">
        <v>774</v>
      </c>
    </row>
    <row r="440" spans="1:1" x14ac:dyDescent="0.25">
      <c r="A440" s="2" t="s">
        <v>776</v>
      </c>
    </row>
    <row r="441" spans="1:1" x14ac:dyDescent="0.25">
      <c r="A441" s="2" t="s">
        <v>778</v>
      </c>
    </row>
    <row r="442" spans="1:1" x14ac:dyDescent="0.25">
      <c r="A442" s="2" t="s">
        <v>780</v>
      </c>
    </row>
    <row r="443" spans="1:1" x14ac:dyDescent="0.25">
      <c r="A443" s="2" t="s">
        <v>782</v>
      </c>
    </row>
    <row r="444" spans="1:1" x14ac:dyDescent="0.25">
      <c r="A444" s="2" t="s">
        <v>784</v>
      </c>
    </row>
    <row r="445" spans="1:1" x14ac:dyDescent="0.25">
      <c r="A445" s="2" t="s">
        <v>786</v>
      </c>
    </row>
    <row r="446" spans="1:1" x14ac:dyDescent="0.25">
      <c r="A446" s="2" t="s">
        <v>788</v>
      </c>
    </row>
    <row r="447" spans="1:1" x14ac:dyDescent="0.25">
      <c r="A447" s="2" t="s">
        <v>790</v>
      </c>
    </row>
    <row r="448" spans="1:1" x14ac:dyDescent="0.25">
      <c r="A448" s="2" t="s">
        <v>792</v>
      </c>
    </row>
    <row r="449" spans="1:1" x14ac:dyDescent="0.25">
      <c r="A449" s="2" t="s">
        <v>794</v>
      </c>
    </row>
    <row r="450" spans="1:1" x14ac:dyDescent="0.25">
      <c r="A450" s="2" t="s">
        <v>796</v>
      </c>
    </row>
    <row r="451" spans="1:1" x14ac:dyDescent="0.25">
      <c r="A451" s="2" t="s">
        <v>798</v>
      </c>
    </row>
    <row r="452" spans="1:1" x14ac:dyDescent="0.25">
      <c r="A452" s="2" t="s">
        <v>800</v>
      </c>
    </row>
    <row r="453" spans="1:1" x14ac:dyDescent="0.25">
      <c r="A453" s="2" t="s">
        <v>802</v>
      </c>
    </row>
    <row r="454" spans="1:1" x14ac:dyDescent="0.25">
      <c r="A454" s="2" t="s">
        <v>805</v>
      </c>
    </row>
    <row r="455" spans="1:1" x14ac:dyDescent="0.25">
      <c r="A455" s="2" t="s">
        <v>810</v>
      </c>
    </row>
    <row r="456" spans="1:1" x14ac:dyDescent="0.25">
      <c r="A456" s="2" t="s">
        <v>812</v>
      </c>
    </row>
    <row r="457" spans="1:1" x14ac:dyDescent="0.25">
      <c r="A457" s="2" t="s">
        <v>815</v>
      </c>
    </row>
    <row r="458" spans="1:1" x14ac:dyDescent="0.25">
      <c r="A458" s="2" t="s">
        <v>817</v>
      </c>
    </row>
    <row r="459" spans="1:1" x14ac:dyDescent="0.25">
      <c r="A459" s="2" t="s">
        <v>819</v>
      </c>
    </row>
    <row r="460" spans="1:1" x14ac:dyDescent="0.25">
      <c r="A460" s="2" t="s">
        <v>821</v>
      </c>
    </row>
    <row r="461" spans="1:1" x14ac:dyDescent="0.25">
      <c r="A461" s="2" t="s">
        <v>823</v>
      </c>
    </row>
    <row r="462" spans="1:1" x14ac:dyDescent="0.25">
      <c r="A462" s="2" t="s">
        <v>825</v>
      </c>
    </row>
    <row r="463" spans="1:1" x14ac:dyDescent="0.25">
      <c r="A463" s="2" t="s">
        <v>827</v>
      </c>
    </row>
    <row r="464" spans="1:1" x14ac:dyDescent="0.25">
      <c r="A464" s="2" t="s">
        <v>830</v>
      </c>
    </row>
    <row r="465" spans="1:1" x14ac:dyDescent="0.25">
      <c r="A465" s="2" t="s">
        <v>832</v>
      </c>
    </row>
    <row r="466" spans="1:1" x14ac:dyDescent="0.25">
      <c r="A466" s="2" t="s">
        <v>834</v>
      </c>
    </row>
    <row r="467" spans="1:1" x14ac:dyDescent="0.25">
      <c r="A467" s="2" t="s">
        <v>836</v>
      </c>
    </row>
    <row r="468" spans="1:1" x14ac:dyDescent="0.25">
      <c r="A468" s="2" t="s">
        <v>839</v>
      </c>
    </row>
    <row r="469" spans="1:1" x14ac:dyDescent="0.25">
      <c r="A469" s="2" t="s">
        <v>841</v>
      </c>
    </row>
    <row r="470" spans="1:1" x14ac:dyDescent="0.25">
      <c r="A470" s="2" t="s">
        <v>843</v>
      </c>
    </row>
    <row r="471" spans="1:1" x14ac:dyDescent="0.25">
      <c r="A471" s="2" t="s">
        <v>845</v>
      </c>
    </row>
    <row r="472" spans="1:1" x14ac:dyDescent="0.25">
      <c r="A472" s="2" t="s">
        <v>847</v>
      </c>
    </row>
    <row r="473" spans="1:1" x14ac:dyDescent="0.25">
      <c r="A473" s="6" t="s">
        <v>849</v>
      </c>
    </row>
    <row r="474" spans="1:1" x14ac:dyDescent="0.25">
      <c r="A474" s="2" t="s">
        <v>851</v>
      </c>
    </row>
    <row r="475" spans="1:1" x14ac:dyDescent="0.25">
      <c r="A475" s="2" t="s">
        <v>853</v>
      </c>
    </row>
    <row r="476" spans="1:1" x14ac:dyDescent="0.25">
      <c r="A476" s="6" t="s">
        <v>855</v>
      </c>
    </row>
    <row r="477" spans="1:1" x14ac:dyDescent="0.25">
      <c r="A477" s="6" t="s">
        <v>858</v>
      </c>
    </row>
    <row r="478" spans="1:1" x14ac:dyDescent="0.25">
      <c r="A478" s="2" t="s">
        <v>861</v>
      </c>
    </row>
    <row r="479" spans="1:1" x14ac:dyDescent="0.25">
      <c r="A479" s="2" t="s">
        <v>866</v>
      </c>
    </row>
    <row r="480" spans="1:1" x14ac:dyDescent="0.25">
      <c r="A480" s="2" t="s">
        <v>868</v>
      </c>
    </row>
    <row r="481" spans="1:1" x14ac:dyDescent="0.25">
      <c r="A481" s="2" t="s">
        <v>870</v>
      </c>
    </row>
    <row r="482" spans="1:1" x14ac:dyDescent="0.25">
      <c r="A482" s="2" t="s">
        <v>872</v>
      </c>
    </row>
    <row r="483" spans="1:1" x14ac:dyDescent="0.25">
      <c r="A483" s="2" t="s">
        <v>874</v>
      </c>
    </row>
    <row r="484" spans="1:1" x14ac:dyDescent="0.25">
      <c r="A484" s="2" t="s">
        <v>876</v>
      </c>
    </row>
    <row r="485" spans="1:1" x14ac:dyDescent="0.25">
      <c r="A485" s="6" t="s">
        <v>878</v>
      </c>
    </row>
    <row r="486" spans="1:1" x14ac:dyDescent="0.25">
      <c r="A486" s="2" t="s">
        <v>880</v>
      </c>
    </row>
    <row r="487" spans="1:1" x14ac:dyDescent="0.25">
      <c r="A487" s="2" t="s">
        <v>884</v>
      </c>
    </row>
    <row r="488" spans="1:1" x14ac:dyDescent="0.25">
      <c r="A488" s="2" t="s">
        <v>886</v>
      </c>
    </row>
    <row r="489" spans="1:1" x14ac:dyDescent="0.25">
      <c r="A489" s="2" t="s">
        <v>888</v>
      </c>
    </row>
    <row r="490" spans="1:1" x14ac:dyDescent="0.25">
      <c r="A490" s="2" t="s">
        <v>890</v>
      </c>
    </row>
    <row r="491" spans="1:1" x14ac:dyDescent="0.25">
      <c r="A491" s="2" t="s">
        <v>893</v>
      </c>
    </row>
    <row r="492" spans="1:1" x14ac:dyDescent="0.25">
      <c r="A492" s="6" t="s">
        <v>895</v>
      </c>
    </row>
    <row r="493" spans="1:1" x14ac:dyDescent="0.25">
      <c r="A493" s="6" t="s">
        <v>897</v>
      </c>
    </row>
    <row r="494" spans="1:1" x14ac:dyDescent="0.25">
      <c r="A494" s="2" t="s">
        <v>899</v>
      </c>
    </row>
    <row r="495" spans="1:1" x14ac:dyDescent="0.25">
      <c r="A495" s="2" t="s">
        <v>901</v>
      </c>
    </row>
    <row r="496" spans="1:1" x14ac:dyDescent="0.25">
      <c r="A496" s="2" t="s">
        <v>903</v>
      </c>
    </row>
    <row r="497" spans="1:1" x14ac:dyDescent="0.25">
      <c r="A497" s="2" t="s">
        <v>905</v>
      </c>
    </row>
    <row r="498" spans="1:1" x14ac:dyDescent="0.25">
      <c r="A498" s="2" t="s">
        <v>907</v>
      </c>
    </row>
    <row r="499" spans="1:1" x14ac:dyDescent="0.25">
      <c r="A499" s="2" t="s">
        <v>909</v>
      </c>
    </row>
    <row r="500" spans="1:1" x14ac:dyDescent="0.25">
      <c r="A500" s="2" t="s">
        <v>911</v>
      </c>
    </row>
    <row r="501" spans="1:1" x14ac:dyDescent="0.25">
      <c r="A501" s="2" t="s">
        <v>913</v>
      </c>
    </row>
    <row r="502" spans="1:1" x14ac:dyDescent="0.25">
      <c r="A502" s="2" t="s">
        <v>917</v>
      </c>
    </row>
    <row r="503" spans="1:1" x14ac:dyDescent="0.25">
      <c r="A503" s="2" t="s">
        <v>919</v>
      </c>
    </row>
    <row r="504" spans="1:1" x14ac:dyDescent="0.25">
      <c r="A504" s="2" t="s">
        <v>921</v>
      </c>
    </row>
    <row r="505" spans="1:1" x14ac:dyDescent="0.25">
      <c r="A505" s="2" t="s">
        <v>924</v>
      </c>
    </row>
    <row r="506" spans="1:1" x14ac:dyDescent="0.25">
      <c r="A506" s="2" t="s">
        <v>926</v>
      </c>
    </row>
    <row r="507" spans="1:1" x14ac:dyDescent="0.25">
      <c r="A507" s="2" t="s">
        <v>928</v>
      </c>
    </row>
    <row r="508" spans="1:1" x14ac:dyDescent="0.25">
      <c r="A508" s="2" t="s">
        <v>931</v>
      </c>
    </row>
    <row r="509" spans="1:1" x14ac:dyDescent="0.25">
      <c r="A509" s="2" t="s">
        <v>933</v>
      </c>
    </row>
    <row r="510" spans="1:1" x14ac:dyDescent="0.25">
      <c r="A510" s="2" t="s">
        <v>935</v>
      </c>
    </row>
    <row r="511" spans="1:1" x14ac:dyDescent="0.25">
      <c r="A511" s="2" t="s">
        <v>937</v>
      </c>
    </row>
    <row r="512" spans="1:1" x14ac:dyDescent="0.25">
      <c r="A512" s="6" t="s">
        <v>939</v>
      </c>
    </row>
    <row r="513" spans="1:1" x14ac:dyDescent="0.25">
      <c r="A513" s="2" t="s">
        <v>941</v>
      </c>
    </row>
    <row r="514" spans="1:1" x14ac:dyDescent="0.25">
      <c r="A514" s="2" t="s">
        <v>943</v>
      </c>
    </row>
    <row r="515" spans="1:1" x14ac:dyDescent="0.25">
      <c r="A515" s="2" t="s">
        <v>945</v>
      </c>
    </row>
    <row r="516" spans="1:1" x14ac:dyDescent="0.25">
      <c r="A516" s="2" t="s">
        <v>947</v>
      </c>
    </row>
    <row r="517" spans="1:1" x14ac:dyDescent="0.25">
      <c r="A517" s="2" t="s">
        <v>949</v>
      </c>
    </row>
    <row r="518" spans="1:1" x14ac:dyDescent="0.25">
      <c r="A518" s="2" t="s">
        <v>951</v>
      </c>
    </row>
    <row r="519" spans="1:1" x14ac:dyDescent="0.25">
      <c r="A519" s="2" t="s">
        <v>953</v>
      </c>
    </row>
    <row r="520" spans="1:1" x14ac:dyDescent="0.25">
      <c r="A520" s="2" t="s">
        <v>955</v>
      </c>
    </row>
    <row r="521" spans="1:1" x14ac:dyDescent="0.25">
      <c r="A521" s="2" t="s">
        <v>957</v>
      </c>
    </row>
    <row r="522" spans="1:1" x14ac:dyDescent="0.25">
      <c r="A522" s="2" t="s">
        <v>959</v>
      </c>
    </row>
    <row r="523" spans="1:1" x14ac:dyDescent="0.25">
      <c r="A523" s="2" t="s">
        <v>961</v>
      </c>
    </row>
    <row r="524" spans="1:1" x14ac:dyDescent="0.25">
      <c r="A524" s="2" t="s">
        <v>963</v>
      </c>
    </row>
    <row r="525" spans="1:1" x14ac:dyDescent="0.25">
      <c r="A525" s="2" t="s">
        <v>965</v>
      </c>
    </row>
    <row r="526" spans="1:1" x14ac:dyDescent="0.25">
      <c r="A526" s="2" t="s">
        <v>967</v>
      </c>
    </row>
    <row r="527" spans="1:1" x14ac:dyDescent="0.25">
      <c r="A527" s="2" t="s">
        <v>969</v>
      </c>
    </row>
    <row r="528" spans="1:1" x14ac:dyDescent="0.25">
      <c r="A528" s="2" t="s">
        <v>971</v>
      </c>
    </row>
    <row r="529" spans="1:1" x14ac:dyDescent="0.25">
      <c r="A529" s="6" t="s">
        <v>973</v>
      </c>
    </row>
    <row r="530" spans="1:1" x14ac:dyDescent="0.25">
      <c r="A530" s="2" t="s">
        <v>975</v>
      </c>
    </row>
    <row r="531" spans="1:1" x14ac:dyDescent="0.25">
      <c r="A531" s="2" t="s">
        <v>977</v>
      </c>
    </row>
    <row r="532" spans="1:1" x14ac:dyDescent="0.25">
      <c r="A532" s="2" t="s">
        <v>979</v>
      </c>
    </row>
    <row r="533" spans="1:1" x14ac:dyDescent="0.25">
      <c r="A533" s="2" t="s">
        <v>981</v>
      </c>
    </row>
    <row r="534" spans="1:1" x14ac:dyDescent="0.25">
      <c r="A534" s="6" t="s">
        <v>983</v>
      </c>
    </row>
    <row r="535" spans="1:1" x14ac:dyDescent="0.25">
      <c r="A535" s="2" t="s">
        <v>985</v>
      </c>
    </row>
    <row r="536" spans="1:1" x14ac:dyDescent="0.25">
      <c r="A536" s="2" t="s">
        <v>987</v>
      </c>
    </row>
    <row r="537" spans="1:1" x14ac:dyDescent="0.25">
      <c r="A537" s="2" t="s">
        <v>989</v>
      </c>
    </row>
    <row r="538" spans="1:1" x14ac:dyDescent="0.25">
      <c r="A538" s="2" t="s">
        <v>991</v>
      </c>
    </row>
    <row r="539" spans="1:1" x14ac:dyDescent="0.25">
      <c r="A539" s="2" t="s">
        <v>993</v>
      </c>
    </row>
    <row r="540" spans="1:1" x14ac:dyDescent="0.25">
      <c r="A540" s="2" t="s">
        <v>995</v>
      </c>
    </row>
    <row r="541" spans="1:1" x14ac:dyDescent="0.25">
      <c r="A541" s="2" t="s">
        <v>997</v>
      </c>
    </row>
    <row r="542" spans="1:1" x14ac:dyDescent="0.25">
      <c r="A542" s="2" t="s">
        <v>999</v>
      </c>
    </row>
    <row r="543" spans="1:1" x14ac:dyDescent="0.25">
      <c r="A543" s="2" t="s">
        <v>1001</v>
      </c>
    </row>
    <row r="544" spans="1:1" x14ac:dyDescent="0.25">
      <c r="A544" s="2" t="s">
        <v>1003</v>
      </c>
    </row>
    <row r="545" spans="1:1" x14ac:dyDescent="0.25">
      <c r="A545" s="2" t="s">
        <v>1005</v>
      </c>
    </row>
    <row r="546" spans="1:1" x14ac:dyDescent="0.25">
      <c r="A546" s="2" t="s">
        <v>1007</v>
      </c>
    </row>
    <row r="547" spans="1:1" x14ac:dyDescent="0.25">
      <c r="A547" s="2" t="s">
        <v>1009</v>
      </c>
    </row>
    <row r="548" spans="1:1" x14ac:dyDescent="0.25">
      <c r="A548" s="6" t="s">
        <v>1011</v>
      </c>
    </row>
    <row r="549" spans="1:1" x14ac:dyDescent="0.25">
      <c r="A549" s="2" t="s">
        <v>1013</v>
      </c>
    </row>
    <row r="550" spans="1:1" x14ac:dyDescent="0.25">
      <c r="A550" s="2" t="s">
        <v>1015</v>
      </c>
    </row>
    <row r="551" spans="1:1" x14ac:dyDescent="0.25">
      <c r="A551" s="2" t="s">
        <v>1017</v>
      </c>
    </row>
    <row r="552" spans="1:1" x14ac:dyDescent="0.25">
      <c r="A552" s="2" t="s">
        <v>1019</v>
      </c>
    </row>
    <row r="553" spans="1:1" x14ac:dyDescent="0.25">
      <c r="A553" s="2" t="s">
        <v>1021</v>
      </c>
    </row>
    <row r="554" spans="1:1" x14ac:dyDescent="0.25">
      <c r="A554" s="2" t="s">
        <v>1023</v>
      </c>
    </row>
    <row r="555" spans="1:1" x14ac:dyDescent="0.25">
      <c r="A555" s="6" t="s">
        <v>1025</v>
      </c>
    </row>
    <row r="556" spans="1:1" x14ac:dyDescent="0.25">
      <c r="A556" s="2" t="s">
        <v>1027</v>
      </c>
    </row>
    <row r="557" spans="1:1" x14ac:dyDescent="0.25">
      <c r="A557" s="2" t="s">
        <v>1029</v>
      </c>
    </row>
    <row r="558" spans="1:1" x14ac:dyDescent="0.25">
      <c r="A558" s="2" t="s">
        <v>1031</v>
      </c>
    </row>
    <row r="559" spans="1:1" x14ac:dyDescent="0.25">
      <c r="A559" s="2" t="s">
        <v>1033</v>
      </c>
    </row>
    <row r="560" spans="1:1" x14ac:dyDescent="0.25">
      <c r="A560" s="2" t="s">
        <v>1035</v>
      </c>
    </row>
    <row r="561" spans="1:1" x14ac:dyDescent="0.25">
      <c r="A561" s="2" t="s">
        <v>1037</v>
      </c>
    </row>
    <row r="562" spans="1:1" x14ac:dyDescent="0.25">
      <c r="A562" s="2" t="s">
        <v>1039</v>
      </c>
    </row>
    <row r="563" spans="1:1" x14ac:dyDescent="0.25">
      <c r="A563" s="2" t="s">
        <v>1041</v>
      </c>
    </row>
    <row r="564" spans="1:1" x14ac:dyDescent="0.25">
      <c r="A564" s="2" t="s">
        <v>1043</v>
      </c>
    </row>
    <row r="565" spans="1:1" x14ac:dyDescent="0.25">
      <c r="A565" s="2" t="s">
        <v>1045</v>
      </c>
    </row>
    <row r="566" spans="1:1" x14ac:dyDescent="0.25">
      <c r="A566" s="2" t="s">
        <v>1047</v>
      </c>
    </row>
    <row r="567" spans="1:1" x14ac:dyDescent="0.25">
      <c r="A567" s="2" t="s">
        <v>1049</v>
      </c>
    </row>
    <row r="568" spans="1:1" x14ac:dyDescent="0.25">
      <c r="A568" s="2" t="s">
        <v>1051</v>
      </c>
    </row>
    <row r="569" spans="1:1" x14ac:dyDescent="0.25">
      <c r="A569" s="2" t="s">
        <v>1053</v>
      </c>
    </row>
    <row r="570" spans="1:1" x14ac:dyDescent="0.25">
      <c r="A570" s="2" t="s">
        <v>1055</v>
      </c>
    </row>
    <row r="571" spans="1:1" x14ac:dyDescent="0.25">
      <c r="A571" s="2" t="s">
        <v>1057</v>
      </c>
    </row>
    <row r="572" spans="1:1" x14ac:dyDescent="0.25">
      <c r="A572" s="2" t="s">
        <v>1059</v>
      </c>
    </row>
    <row r="573" spans="1:1" x14ac:dyDescent="0.25">
      <c r="A573" s="2" t="s">
        <v>1061</v>
      </c>
    </row>
    <row r="574" spans="1:1" x14ac:dyDescent="0.25">
      <c r="A574" s="2" t="s">
        <v>1063</v>
      </c>
    </row>
    <row r="575" spans="1:1" x14ac:dyDescent="0.25">
      <c r="A575" s="2" t="s">
        <v>1065</v>
      </c>
    </row>
    <row r="576" spans="1:1" x14ac:dyDescent="0.25">
      <c r="A576" s="2" t="s">
        <v>1067</v>
      </c>
    </row>
    <row r="577" spans="1:1" x14ac:dyDescent="0.25">
      <c r="A577" s="6" t="s">
        <v>1069</v>
      </c>
    </row>
    <row r="578" spans="1:1" x14ac:dyDescent="0.25">
      <c r="A578" s="2" t="s">
        <v>1071</v>
      </c>
    </row>
    <row r="579" spans="1:1" x14ac:dyDescent="0.25">
      <c r="A579" s="6" t="s">
        <v>1073</v>
      </c>
    </row>
    <row r="580" spans="1:1" x14ac:dyDescent="0.25">
      <c r="A580" s="2" t="s">
        <v>1075</v>
      </c>
    </row>
    <row r="581" spans="1:1" x14ac:dyDescent="0.25">
      <c r="A581" s="6" t="s">
        <v>1077</v>
      </c>
    </row>
    <row r="582" spans="1:1" x14ac:dyDescent="0.25">
      <c r="A582" s="2" t="s">
        <v>1079</v>
      </c>
    </row>
    <row r="583" spans="1:1" x14ac:dyDescent="0.25">
      <c r="A583" s="2" t="s">
        <v>1081</v>
      </c>
    </row>
    <row r="584" spans="1:1" x14ac:dyDescent="0.25">
      <c r="A584" s="2" t="s">
        <v>1083</v>
      </c>
    </row>
    <row r="585" spans="1:1" x14ac:dyDescent="0.25">
      <c r="A585" s="2" t="s">
        <v>1085</v>
      </c>
    </row>
    <row r="586" spans="1:1" x14ac:dyDescent="0.25">
      <c r="A586" s="2" t="s">
        <v>1087</v>
      </c>
    </row>
    <row r="587" spans="1:1" x14ac:dyDescent="0.25">
      <c r="A587" s="2" t="s">
        <v>1089</v>
      </c>
    </row>
    <row r="588" spans="1:1" x14ac:dyDescent="0.25">
      <c r="A588" s="2" t="s">
        <v>1091</v>
      </c>
    </row>
    <row r="589" spans="1:1" x14ac:dyDescent="0.25">
      <c r="A589" s="2" t="s">
        <v>1093</v>
      </c>
    </row>
    <row r="590" spans="1:1" x14ac:dyDescent="0.25">
      <c r="A590" s="2" t="s">
        <v>1095</v>
      </c>
    </row>
    <row r="591" spans="1:1" x14ac:dyDescent="0.25">
      <c r="A591" s="2" t="s">
        <v>1097</v>
      </c>
    </row>
    <row r="592" spans="1:1" x14ac:dyDescent="0.25">
      <c r="A592" s="2" t="s">
        <v>1099</v>
      </c>
    </row>
    <row r="593" spans="1:1" x14ac:dyDescent="0.25">
      <c r="A593" s="6" t="s">
        <v>1101</v>
      </c>
    </row>
    <row r="594" spans="1:1" x14ac:dyDescent="0.25">
      <c r="A594" s="2" t="s">
        <v>1103</v>
      </c>
    </row>
    <row r="595" spans="1:1" x14ac:dyDescent="0.25">
      <c r="A595" s="6" t="s">
        <v>1105</v>
      </c>
    </row>
    <row r="596" spans="1:1" x14ac:dyDescent="0.25">
      <c r="A596" s="2" t="s">
        <v>1107</v>
      </c>
    </row>
    <row r="597" spans="1:1" x14ac:dyDescent="0.25">
      <c r="A597" s="2" t="s">
        <v>1109</v>
      </c>
    </row>
    <row r="598" spans="1:1" x14ac:dyDescent="0.25">
      <c r="A598" s="6" t="s">
        <v>1111</v>
      </c>
    </row>
    <row r="599" spans="1:1" x14ac:dyDescent="0.25">
      <c r="A599" s="2" t="s">
        <v>1113</v>
      </c>
    </row>
    <row r="600" spans="1:1" x14ac:dyDescent="0.25">
      <c r="A600" s="2" t="s">
        <v>1115</v>
      </c>
    </row>
    <row r="601" spans="1:1" x14ac:dyDescent="0.25">
      <c r="A601" s="2" t="s">
        <v>1117</v>
      </c>
    </row>
    <row r="602" spans="1:1" x14ac:dyDescent="0.25">
      <c r="A602" s="2" t="s">
        <v>1119</v>
      </c>
    </row>
    <row r="603" spans="1:1" x14ac:dyDescent="0.25">
      <c r="A603" s="2" t="s">
        <v>1121</v>
      </c>
    </row>
    <row r="604" spans="1:1" x14ac:dyDescent="0.25">
      <c r="A604" s="2" t="s">
        <v>1123</v>
      </c>
    </row>
    <row r="605" spans="1:1" x14ac:dyDescent="0.25">
      <c r="A605" s="2" t="s">
        <v>1125</v>
      </c>
    </row>
    <row r="606" spans="1:1" x14ac:dyDescent="0.25">
      <c r="A606" s="2" t="s">
        <v>1127</v>
      </c>
    </row>
    <row r="607" spans="1:1" x14ac:dyDescent="0.25">
      <c r="A607" s="2" t="s">
        <v>1129</v>
      </c>
    </row>
    <row r="608" spans="1:1" x14ac:dyDescent="0.25">
      <c r="A608" s="2" t="s">
        <v>1131</v>
      </c>
    </row>
    <row r="609" spans="1:1" x14ac:dyDescent="0.25">
      <c r="A609" s="2" t="s">
        <v>1133</v>
      </c>
    </row>
    <row r="610" spans="1:1" x14ac:dyDescent="0.25">
      <c r="A610" s="2" t="s">
        <v>1135</v>
      </c>
    </row>
    <row r="611" spans="1:1" x14ac:dyDescent="0.25">
      <c r="A611" s="2" t="s">
        <v>1137</v>
      </c>
    </row>
    <row r="612" spans="1:1" x14ac:dyDescent="0.25">
      <c r="A612" s="2" t="s">
        <v>1139</v>
      </c>
    </row>
    <row r="613" spans="1:1" x14ac:dyDescent="0.25">
      <c r="A613" s="2" t="s">
        <v>1141</v>
      </c>
    </row>
    <row r="614" spans="1:1" x14ac:dyDescent="0.25">
      <c r="A614" s="2" t="s">
        <v>1144</v>
      </c>
    </row>
    <row r="615" spans="1:1" x14ac:dyDescent="0.25">
      <c r="A615" s="6" t="s">
        <v>1146</v>
      </c>
    </row>
    <row r="616" spans="1:1" x14ac:dyDescent="0.25">
      <c r="A616" s="2" t="s">
        <v>1148</v>
      </c>
    </row>
    <row r="617" spans="1:1" x14ac:dyDescent="0.25">
      <c r="A617" s="2" t="s">
        <v>1150</v>
      </c>
    </row>
    <row r="618" spans="1:1" x14ac:dyDescent="0.25">
      <c r="A618" s="2" t="s">
        <v>1152</v>
      </c>
    </row>
    <row r="619" spans="1:1" x14ac:dyDescent="0.25">
      <c r="A619" s="2" t="s">
        <v>1154</v>
      </c>
    </row>
    <row r="620" spans="1:1" x14ac:dyDescent="0.25">
      <c r="A620" s="2" t="s">
        <v>1156</v>
      </c>
    </row>
    <row r="621" spans="1:1" x14ac:dyDescent="0.25">
      <c r="A621" s="6" t="s">
        <v>1158</v>
      </c>
    </row>
    <row r="622" spans="1:1" x14ac:dyDescent="0.25">
      <c r="A622" s="6" t="s">
        <v>1160</v>
      </c>
    </row>
    <row r="623" spans="1:1" x14ac:dyDescent="0.25">
      <c r="A623" s="2" t="s">
        <v>1162</v>
      </c>
    </row>
    <row r="624" spans="1:1" x14ac:dyDescent="0.25">
      <c r="A624" s="2" t="s">
        <v>1165</v>
      </c>
    </row>
    <row r="625" spans="1:1" x14ac:dyDescent="0.25">
      <c r="A625" s="2" t="s">
        <v>1167</v>
      </c>
    </row>
    <row r="626" spans="1:1" x14ac:dyDescent="0.25">
      <c r="A626" s="2" t="s">
        <v>1169</v>
      </c>
    </row>
    <row r="627" spans="1:1" x14ac:dyDescent="0.25">
      <c r="A627" s="2" t="s">
        <v>1171</v>
      </c>
    </row>
    <row r="628" spans="1:1" x14ac:dyDescent="0.25">
      <c r="A628" s="2" t="s">
        <v>1175</v>
      </c>
    </row>
    <row r="629" spans="1:1" x14ac:dyDescent="0.25">
      <c r="A629" s="2" t="s">
        <v>1180</v>
      </c>
    </row>
    <row r="630" spans="1:1" x14ac:dyDescent="0.25">
      <c r="A630" s="6" t="s">
        <v>1184</v>
      </c>
    </row>
    <row r="631" spans="1:1" x14ac:dyDescent="0.25">
      <c r="A631" s="2" t="s">
        <v>1188</v>
      </c>
    </row>
    <row r="632" spans="1:1" x14ac:dyDescent="0.25">
      <c r="A632" s="2" t="s">
        <v>1190</v>
      </c>
    </row>
    <row r="633" spans="1:1" x14ac:dyDescent="0.25">
      <c r="A633" s="2" t="s">
        <v>1192</v>
      </c>
    </row>
    <row r="634" spans="1:1" x14ac:dyDescent="0.25">
      <c r="A634" s="2" t="s">
        <v>1195</v>
      </c>
    </row>
    <row r="635" spans="1:1" x14ac:dyDescent="0.25">
      <c r="A635" s="2" t="s">
        <v>1197</v>
      </c>
    </row>
    <row r="636" spans="1:1" x14ac:dyDescent="0.25">
      <c r="A636" s="2" t="s">
        <v>1199</v>
      </c>
    </row>
    <row r="637" spans="1:1" x14ac:dyDescent="0.25">
      <c r="A637" s="2" t="s">
        <v>1201</v>
      </c>
    </row>
    <row r="638" spans="1:1" x14ac:dyDescent="0.25">
      <c r="A638" s="2" t="s">
        <v>1203</v>
      </c>
    </row>
    <row r="639" spans="1:1" x14ac:dyDescent="0.25">
      <c r="A639" s="2" t="s">
        <v>1205</v>
      </c>
    </row>
    <row r="640" spans="1:1" x14ac:dyDescent="0.25">
      <c r="A640" s="6" t="s">
        <v>1207</v>
      </c>
    </row>
    <row r="641" spans="1:1" x14ac:dyDescent="0.25">
      <c r="A641" s="2" t="s">
        <v>1209</v>
      </c>
    </row>
    <row r="642" spans="1:1" x14ac:dyDescent="0.25">
      <c r="A642" s="2" t="s">
        <v>1211</v>
      </c>
    </row>
    <row r="643" spans="1:1" x14ac:dyDescent="0.25">
      <c r="A643" s="6" t="s">
        <v>1213</v>
      </c>
    </row>
    <row r="644" spans="1:1" x14ac:dyDescent="0.25">
      <c r="A644" s="2" t="s">
        <v>1215</v>
      </c>
    </row>
    <row r="645" spans="1:1" x14ac:dyDescent="0.25">
      <c r="A645" s="2" t="s">
        <v>1221</v>
      </c>
    </row>
    <row r="646" spans="1:1" x14ac:dyDescent="0.25">
      <c r="A646" s="2" t="s">
        <v>1225</v>
      </c>
    </row>
    <row r="647" spans="1:1" x14ac:dyDescent="0.25">
      <c r="A647" s="2" t="s">
        <v>1228</v>
      </c>
    </row>
    <row r="648" spans="1:1" x14ac:dyDescent="0.25">
      <c r="A648" s="2" t="s">
        <v>1231</v>
      </c>
    </row>
    <row r="649" spans="1:1" x14ac:dyDescent="0.25">
      <c r="A649" s="2" t="s">
        <v>1233</v>
      </c>
    </row>
    <row r="650" spans="1:1" x14ac:dyDescent="0.25">
      <c r="A650" s="6" t="s">
        <v>1235</v>
      </c>
    </row>
    <row r="651" spans="1:1" x14ac:dyDescent="0.25">
      <c r="A651" s="2" t="s">
        <v>1237</v>
      </c>
    </row>
    <row r="652" spans="1:1" x14ac:dyDescent="0.25">
      <c r="A652" s="6" t="s">
        <v>1239</v>
      </c>
    </row>
    <row r="653" spans="1:1" x14ac:dyDescent="0.25">
      <c r="A653" s="2" t="s">
        <v>1241</v>
      </c>
    </row>
    <row r="654" spans="1:1" x14ac:dyDescent="0.25">
      <c r="A654" s="2" t="s">
        <v>1244</v>
      </c>
    </row>
    <row r="655" spans="1:1" x14ac:dyDescent="0.25">
      <c r="A655" s="6" t="s">
        <v>1246</v>
      </c>
    </row>
    <row r="656" spans="1:1" x14ac:dyDescent="0.25">
      <c r="A656" s="2" t="s">
        <v>1248</v>
      </c>
    </row>
    <row r="657" spans="1:1" x14ac:dyDescent="0.25">
      <c r="A657" s="2" t="s">
        <v>1251</v>
      </c>
    </row>
    <row r="658" spans="1:1" x14ac:dyDescent="0.25">
      <c r="A658" s="2" t="s">
        <v>1253</v>
      </c>
    </row>
    <row r="659" spans="1:1" x14ac:dyDescent="0.25">
      <c r="A659" s="2" t="s">
        <v>1255</v>
      </c>
    </row>
    <row r="660" spans="1:1" x14ac:dyDescent="0.25">
      <c r="A660" s="2" t="s">
        <v>1257</v>
      </c>
    </row>
    <row r="661" spans="1:1" x14ac:dyDescent="0.25">
      <c r="A661" s="2" t="s">
        <v>1259</v>
      </c>
    </row>
    <row r="662" spans="1:1" x14ac:dyDescent="0.25">
      <c r="A662" s="2" t="s">
        <v>1263</v>
      </c>
    </row>
    <row r="663" spans="1:1" x14ac:dyDescent="0.25">
      <c r="A663" s="2" t="s">
        <v>1265</v>
      </c>
    </row>
    <row r="664" spans="1:1" x14ac:dyDescent="0.25">
      <c r="A664" s="2" t="s">
        <v>1267</v>
      </c>
    </row>
    <row r="665" spans="1:1" x14ac:dyDescent="0.25">
      <c r="A665" s="2" t="s">
        <v>1269</v>
      </c>
    </row>
    <row r="666" spans="1:1" x14ac:dyDescent="0.25">
      <c r="A666" s="2" t="s">
        <v>1271</v>
      </c>
    </row>
    <row r="667" spans="1:1" x14ac:dyDescent="0.25">
      <c r="A667" s="2" t="s">
        <v>1273</v>
      </c>
    </row>
    <row r="668" spans="1:1" x14ac:dyDescent="0.25">
      <c r="A668" s="2" t="s">
        <v>1275</v>
      </c>
    </row>
    <row r="669" spans="1:1" x14ac:dyDescent="0.25">
      <c r="A669" s="2" t="s">
        <v>1277</v>
      </c>
    </row>
    <row r="670" spans="1:1" x14ac:dyDescent="0.25">
      <c r="A670" s="2" t="s">
        <v>1279</v>
      </c>
    </row>
    <row r="671" spans="1:1" x14ac:dyDescent="0.25">
      <c r="A671" s="2" t="s">
        <v>1281</v>
      </c>
    </row>
    <row r="672" spans="1:1" x14ac:dyDescent="0.25">
      <c r="A672" s="2" t="s">
        <v>1283</v>
      </c>
    </row>
    <row r="673" spans="1:1" x14ac:dyDescent="0.25">
      <c r="A673" s="2" t="s">
        <v>1285</v>
      </c>
    </row>
    <row r="674" spans="1:1" x14ac:dyDescent="0.25">
      <c r="A674" s="6" t="s">
        <v>1287</v>
      </c>
    </row>
    <row r="675" spans="1:1" x14ac:dyDescent="0.25">
      <c r="A675" s="2" t="s">
        <v>1289</v>
      </c>
    </row>
    <row r="677" spans="1:1" x14ac:dyDescent="0.25">
      <c r="A677" s="8"/>
    </row>
    <row r="697" spans="1:1" x14ac:dyDescent="0.25">
      <c r="A69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Secto dossiers "adultes"</vt:lpstr>
      <vt:lpstr>Commune_A</vt:lpstr>
      <vt:lpstr>l_ville</vt:lpstr>
      <vt:lpstr>p_ville</vt:lpstr>
    </vt:vector>
  </TitlesOfParts>
  <Company>CD27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LOUEDEC Virginie</dc:creator>
  <cp:lastModifiedBy>DERA-SCHTYK Ryann</cp:lastModifiedBy>
  <cp:lastPrinted>2026-02-02T11:16:03Z</cp:lastPrinted>
  <dcterms:created xsi:type="dcterms:W3CDTF">2020-05-25T14:55:06Z</dcterms:created>
  <dcterms:modified xsi:type="dcterms:W3CDTF">2026-03-03T08:15:04Z</dcterms:modified>
</cp:coreProperties>
</file>